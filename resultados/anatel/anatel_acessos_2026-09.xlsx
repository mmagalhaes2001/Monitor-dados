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óvel" sheetId="1" state="visible" r:id="rId1"/>
    <sheet name="Móvel pós-pago" sheetId="2" state="visible" r:id="rId2"/>
    <sheet name="Móvel pré-pago" sheetId="3" state="visible" r:id="rId3"/>
    <sheet name="Móvel 5G" sheetId="4" state="visible" r:id="rId4"/>
    <sheet name="Móvel M2M" sheetId="5" state="visible" r:id="rId5"/>
    <sheet name="BLF" sheetId="6" state="visible" r:id="rId6"/>
    <sheet name="BLF fibra" sheetId="7" state="visible" r:id="rId7"/>
    <sheet name="Not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0.0%;(0.0%);-"/>
    <numFmt numFmtId="166" formatCode="0.00;(0.00);-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2">
    <border>
      <left/>
      <right/>
      <top/>
      <bottom/>
      <diagonal/>
    </border>
    <border>
      <top style="thin">
        <color rgb="00999999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0" fontId="4" fillId="0" borderId="0" pivotButton="0" quotePrefix="0" xfId="0"/>
    <xf numFmtId="164" fontId="5" fillId="0" borderId="0" pivotButton="0" quotePrefix="0" xfId="0"/>
    <xf numFmtId="0" fontId="3" fillId="0" borderId="0" pivotButton="0" quotePrefix="0" xfId="0"/>
    <xf numFmtId="164" fontId="3" fillId="0" borderId="1" pivotButton="0" quotePrefix="0" xfId="0"/>
    <xf numFmtId="165" fontId="4" fillId="0" borderId="0" pivotButton="0" quotePrefix="0" xfId="0"/>
    <xf numFmtId="165" fontId="3" fillId="0" borderId="0" pivotButton="0" quotePrefix="0" xfId="0"/>
    <xf numFmtId="164" fontId="4" fillId="0" borderId="0" pivotButton="0" quotePrefix="0" xfId="0"/>
    <xf numFmtId="164" fontId="3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Telefonia móvel — acessos por grupo econômico</t>
        </is>
      </c>
    </row>
    <row r="2">
      <c r="A2" s="2" t="inlineStr">
        <is>
          <t>Base do total oficial Anatel: exclui M2M e ponto de serviço</t>
        </is>
      </c>
    </row>
    <row r="4">
      <c r="A4" s="3" t="inlineStr">
        <is>
          <t>Acessos</t>
        </is>
      </c>
      <c r="B4" s="3" t="inlineStr">
        <is>
          <t>Grupo (rótulo Anatel)</t>
        </is>
      </c>
      <c r="C4" s="4" t="inlineStr">
        <is>
          <t>09/25</t>
        </is>
      </c>
      <c r="D4" s="4" t="inlineStr">
        <is>
          <t>10/25</t>
        </is>
      </c>
      <c r="E4" s="4" t="inlineStr">
        <is>
          <t>11/25</t>
        </is>
      </c>
      <c r="F4" s="4" t="inlineStr">
        <is>
          <t>12/25</t>
        </is>
      </c>
      <c r="G4" s="4" t="inlineStr">
        <is>
          <t>01/26</t>
        </is>
      </c>
      <c r="H4" s="4" t="inlineStr">
        <is>
          <t>02/26</t>
        </is>
      </c>
      <c r="I4" s="4" t="inlineStr">
        <is>
          <t>03/26</t>
        </is>
      </c>
      <c r="J4" s="4" t="inlineStr">
        <is>
          <t>04/26</t>
        </is>
      </c>
      <c r="K4" s="4" t="inlineStr">
        <is>
          <t>05/26</t>
        </is>
      </c>
      <c r="L4" s="4" t="inlineStr">
        <is>
          <t>06/26</t>
        </is>
      </c>
      <c r="M4" s="4" t="inlineStr">
        <is>
          <t>07/26</t>
        </is>
      </c>
      <c r="N4" s="4" t="inlineStr">
        <is>
          <t>08/26</t>
        </is>
      </c>
      <c r="O4" s="4" t="inlineStr">
        <is>
          <t>09/26</t>
        </is>
      </c>
    </row>
    <row r="5">
      <c r="A5" s="5" t="inlineStr">
        <is>
          <t>Vivo</t>
        </is>
      </c>
      <c r="B5" s="2" t="inlineStr">
        <is>
          <t>TELEFONICA</t>
        </is>
      </c>
      <c r="C5" s="6" t="n">
        <v>84361727</v>
      </c>
      <c r="D5" s="6" t="n">
        <v>84282901</v>
      </c>
      <c r="E5" s="6" t="n">
        <v>84170477</v>
      </c>
      <c r="F5" s="6" t="n">
        <v>84087042</v>
      </c>
      <c r="G5" s="6" t="n">
        <v>84095490</v>
      </c>
      <c r="H5" s="6" t="n">
        <v>84236897</v>
      </c>
      <c r="I5" s="6" t="n">
        <v>84315876</v>
      </c>
      <c r="J5" s="6" t="n">
        <v>84682952</v>
      </c>
      <c r="K5" s="6" t="n">
        <v>85098493</v>
      </c>
      <c r="L5" s="6" t="n">
        <v>85361324</v>
      </c>
      <c r="M5" s="6" t="n">
        <v>85610910</v>
      </c>
      <c r="N5" s="6" t="n">
        <v>85818766</v>
      </c>
      <c r="O5" s="6" t="n">
        <v>86049688</v>
      </c>
    </row>
    <row r="6">
      <c r="A6" s="5" t="inlineStr">
        <is>
          <t>Claro</t>
        </is>
      </c>
      <c r="B6" s="2" t="inlineStr">
        <is>
          <t>TELECOM AMERICAS</t>
        </is>
      </c>
      <c r="C6" s="6" t="n">
        <v>72317293</v>
      </c>
      <c r="D6" s="6" t="n">
        <v>72461574</v>
      </c>
      <c r="E6" s="6" t="n">
        <v>72644269</v>
      </c>
      <c r="F6" s="6" t="n">
        <v>72878411</v>
      </c>
      <c r="G6" s="6" t="n">
        <v>73058930</v>
      </c>
      <c r="H6" s="6" t="n">
        <v>73568924</v>
      </c>
      <c r="I6" s="6" t="n">
        <v>74058578</v>
      </c>
      <c r="J6" s="6" t="n">
        <v>74263470</v>
      </c>
      <c r="K6" s="6" t="n">
        <v>74726247</v>
      </c>
      <c r="L6" s="6" t="n">
        <v>74822037</v>
      </c>
      <c r="M6" s="6" t="n">
        <v>74913502</v>
      </c>
      <c r="N6" s="6" t="n">
        <v>75288453</v>
      </c>
      <c r="O6" s="6" t="n">
        <v>75598997</v>
      </c>
    </row>
    <row r="7">
      <c r="A7" s="5" t="inlineStr">
        <is>
          <t>TIM</t>
        </is>
      </c>
      <c r="B7" s="2" t="inlineStr">
        <is>
          <t>TELECOM ITALIA</t>
        </is>
      </c>
      <c r="C7" s="6" t="n">
        <v>55653073</v>
      </c>
      <c r="D7" s="6" t="n">
        <v>55560143</v>
      </c>
      <c r="E7" s="6" t="n">
        <v>55433775</v>
      </c>
      <c r="F7" s="6" t="n">
        <v>54919383</v>
      </c>
      <c r="G7" s="6" t="n">
        <v>54816162</v>
      </c>
      <c r="H7" s="6" t="n">
        <v>54580275</v>
      </c>
      <c r="I7" s="6" t="n">
        <v>54752184</v>
      </c>
      <c r="J7" s="6" t="n">
        <v>54523210</v>
      </c>
      <c r="K7" s="6" t="n">
        <v>54506993</v>
      </c>
      <c r="L7" s="6" t="n">
        <v>54339246</v>
      </c>
      <c r="M7" s="6" t="n">
        <v>54375540</v>
      </c>
      <c r="N7" s="6" t="n">
        <v>54228190</v>
      </c>
      <c r="O7" s="6" t="n">
        <v>53975237</v>
      </c>
    </row>
    <row r="8">
      <c r="A8" s="5" t="inlineStr">
        <is>
          <t>Surf Telecom</t>
        </is>
      </c>
      <c r="B8" s="2" t="inlineStr">
        <is>
          <t>SURF TELECOM</t>
        </is>
      </c>
      <c r="C8" s="6" t="n">
        <v>1494853</v>
      </c>
      <c r="D8" s="6" t="n">
        <v>1626462</v>
      </c>
      <c r="E8" s="6" t="n">
        <v>1697270</v>
      </c>
      <c r="F8" s="6" t="n">
        <v>1731331</v>
      </c>
      <c r="G8" s="6" t="n">
        <v>1776997</v>
      </c>
      <c r="H8" s="6" t="n">
        <v>1817837</v>
      </c>
      <c r="I8" s="6" t="n">
        <v>1859418</v>
      </c>
      <c r="J8" s="6" t="n">
        <v>1918143</v>
      </c>
      <c r="K8" s="6" t="n">
        <v>1997532</v>
      </c>
      <c r="L8" s="6" t="n">
        <v>2071637</v>
      </c>
      <c r="M8" s="6" t="n">
        <v>2135342</v>
      </c>
      <c r="N8" s="6" t="n">
        <v>2154483</v>
      </c>
      <c r="O8" s="6" t="n">
        <v>2166474</v>
      </c>
    </row>
    <row r="9">
      <c r="A9" s="5" t="inlineStr">
        <is>
          <t>Brisanet</t>
        </is>
      </c>
      <c r="B9" s="2" t="inlineStr">
        <is>
          <t>BRISANET</t>
        </is>
      </c>
      <c r="C9" s="6" t="n">
        <v>700710</v>
      </c>
      <c r="D9" s="6" t="n">
        <v>762137</v>
      </c>
      <c r="E9" s="6" t="n">
        <v>813654</v>
      </c>
      <c r="F9" s="6" t="n">
        <v>852265</v>
      </c>
      <c r="G9" s="6" t="n">
        <v>882993</v>
      </c>
      <c r="H9" s="6" t="n">
        <v>913745</v>
      </c>
      <c r="I9" s="6" t="n">
        <v>953547</v>
      </c>
      <c r="J9" s="6" t="n">
        <v>990238</v>
      </c>
      <c r="K9" s="6" t="n">
        <v>1029443</v>
      </c>
      <c r="L9" s="6" t="n">
        <v>1069958</v>
      </c>
      <c r="M9" s="6" t="n">
        <v>1108614</v>
      </c>
      <c r="N9" s="6" t="n">
        <v>1144880</v>
      </c>
      <c r="O9" s="6" t="n">
        <v>1179131</v>
      </c>
    </row>
    <row r="10">
      <c r="A10" s="5" t="inlineStr">
        <is>
          <t>Algar</t>
        </is>
      </c>
      <c r="B10" s="2" t="inlineStr">
        <is>
          <t>ALGAR (CTBC TELECOM)</t>
        </is>
      </c>
      <c r="C10" s="6" t="n">
        <v>1167250</v>
      </c>
      <c r="D10" s="6" t="n">
        <v>1166085</v>
      </c>
      <c r="E10" s="6" t="n">
        <v>1163019</v>
      </c>
      <c r="F10" s="6" t="n">
        <v>1168686</v>
      </c>
      <c r="G10" s="6" t="n">
        <v>1172758</v>
      </c>
      <c r="H10" s="6" t="n">
        <v>1170429</v>
      </c>
      <c r="I10" s="6" t="n">
        <v>1166291</v>
      </c>
      <c r="J10" s="6" t="n">
        <v>1157839</v>
      </c>
      <c r="K10" s="6" t="n">
        <v>1150935</v>
      </c>
      <c r="L10" s="6" t="n">
        <v>1147491</v>
      </c>
      <c r="M10" s="6" t="n">
        <v>1143794</v>
      </c>
      <c r="N10" s="6" t="n">
        <v>1137910</v>
      </c>
      <c r="O10" s="6" t="n">
        <v>1139321</v>
      </c>
    </row>
    <row r="11">
      <c r="A11" s="5" t="inlineStr">
        <is>
          <t>Vero</t>
        </is>
      </c>
      <c r="B11" s="2" t="inlineStr">
        <is>
          <t>VERO</t>
        </is>
      </c>
      <c r="C11" s="6" t="n">
        <v>268448</v>
      </c>
      <c r="D11" s="6" t="n">
        <v>280361</v>
      </c>
      <c r="E11" s="6" t="n">
        <v>296086</v>
      </c>
      <c r="F11" s="6" t="n">
        <v>302251</v>
      </c>
      <c r="G11" s="6" t="n">
        <v>312406</v>
      </c>
      <c r="H11" s="6" t="n">
        <v>324335</v>
      </c>
      <c r="I11" s="6" t="n">
        <v>336032</v>
      </c>
      <c r="J11" s="6" t="n">
        <v>346380</v>
      </c>
      <c r="K11" s="6" t="n">
        <v>354970</v>
      </c>
      <c r="L11" s="6" t="n">
        <v>367298</v>
      </c>
      <c r="M11" s="6" t="n">
        <v>384155</v>
      </c>
      <c r="N11" s="6" t="n">
        <v>397708</v>
      </c>
      <c r="O11" s="6" t="n">
        <v>419734</v>
      </c>
    </row>
    <row r="12">
      <c r="A12" s="5" t="inlineStr">
        <is>
          <t>Unifique</t>
        </is>
      </c>
      <c r="B12" s="2" t="inlineStr">
        <is>
          <t>UNIFIQUE</t>
        </is>
      </c>
      <c r="C12" s="6" t="n">
        <v>211204</v>
      </c>
      <c r="D12" s="6" t="n">
        <v>225607</v>
      </c>
      <c r="E12" s="6" t="n">
        <v>238052</v>
      </c>
      <c r="F12" s="6" t="n">
        <v>247752</v>
      </c>
      <c r="G12" s="6" t="n">
        <v>261082</v>
      </c>
      <c r="H12" s="6" t="n">
        <v>272882</v>
      </c>
      <c r="I12" s="6" t="n">
        <v>287805</v>
      </c>
      <c r="J12" s="6" t="n">
        <v>301533</v>
      </c>
      <c r="K12" s="6" t="n">
        <v>316404</v>
      </c>
      <c r="L12" s="6" t="n">
        <v>337421</v>
      </c>
      <c r="M12" s="6" t="n">
        <v>353273</v>
      </c>
      <c r="N12" s="6" t="n">
        <v>367605</v>
      </c>
      <c r="O12" s="6" t="n">
        <v>381167</v>
      </c>
    </row>
    <row r="13">
      <c r="A13" s="5" t="inlineStr">
        <is>
          <t>Outros</t>
        </is>
      </c>
      <c r="B13" s="2" t="inlineStr">
        <is>
          <t>OUTROS</t>
        </is>
      </c>
      <c r="C13" s="6" t="n">
        <v>167592</v>
      </c>
      <c r="D13" s="6" t="n">
        <v>176227</v>
      </c>
      <c r="E13" s="6" t="n">
        <v>183672</v>
      </c>
      <c r="F13" s="6" t="n">
        <v>186116</v>
      </c>
      <c r="G13" s="6" t="n">
        <v>195064</v>
      </c>
      <c r="H13" s="6" t="n">
        <v>202850</v>
      </c>
      <c r="I13" s="6" t="n">
        <v>216439</v>
      </c>
      <c r="J13" s="6" t="n">
        <v>227623</v>
      </c>
      <c r="K13" s="6" t="n">
        <v>237812</v>
      </c>
      <c r="L13" s="6" t="n">
        <v>244591</v>
      </c>
      <c r="M13" s="6" t="n">
        <v>248897</v>
      </c>
      <c r="N13" s="6" t="n">
        <v>263657</v>
      </c>
      <c r="O13" s="6" t="n">
        <v>265245</v>
      </c>
    </row>
    <row r="14">
      <c r="A14" s="5" t="inlineStr">
        <is>
          <t>Datora</t>
        </is>
      </c>
      <c r="B14" s="2" t="inlineStr">
        <is>
          <t>DATORA</t>
        </is>
      </c>
      <c r="C14" s="6" t="n">
        <v>51941</v>
      </c>
      <c r="D14" s="6" t="n">
        <v>52248</v>
      </c>
      <c r="E14" s="6" t="n">
        <v>52937</v>
      </c>
      <c r="F14" s="6" t="n">
        <v>53505</v>
      </c>
      <c r="G14" s="6" t="n">
        <v>54026</v>
      </c>
      <c r="H14" s="6" t="n">
        <v>54646</v>
      </c>
      <c r="I14" s="6" t="n">
        <v>55714</v>
      </c>
      <c r="J14" s="6" t="n">
        <v>56692</v>
      </c>
      <c r="K14" s="6" t="n">
        <v>57787</v>
      </c>
      <c r="L14" s="6" t="n">
        <v>58292</v>
      </c>
      <c r="M14" s="6" t="n">
        <v>60136</v>
      </c>
      <c r="N14" s="6" t="n">
        <v>104357</v>
      </c>
      <c r="O14" s="6" t="n">
        <v>106938</v>
      </c>
    </row>
    <row r="15">
      <c r="A15" s="5" t="inlineStr">
        <is>
          <t>Demais grupos</t>
        </is>
      </c>
      <c r="B15" s="2" t="inlineStr">
        <is>
          <t>DEMAIS GRUPOS</t>
        </is>
      </c>
      <c r="C15" s="6" t="n">
        <v>23856</v>
      </c>
      <c r="D15" s="6" t="n">
        <v>23566</v>
      </c>
      <c r="E15" s="6" t="n">
        <v>23266</v>
      </c>
      <c r="F15" s="6" t="n">
        <v>22867</v>
      </c>
      <c r="G15" s="6" t="n">
        <v>17229</v>
      </c>
      <c r="H15" s="6" t="n">
        <v>17245</v>
      </c>
      <c r="I15" s="6" t="n">
        <v>17059</v>
      </c>
      <c r="J15" s="6" t="n">
        <v>16815</v>
      </c>
      <c r="K15" s="6" t="n">
        <v>16507</v>
      </c>
      <c r="L15" s="6" t="n">
        <v>15918</v>
      </c>
      <c r="M15" s="6" t="n">
        <v>15559</v>
      </c>
      <c r="N15" s="6" t="n">
        <v>15372</v>
      </c>
      <c r="O15" s="6" t="n">
        <v>15126</v>
      </c>
    </row>
    <row r="16">
      <c r="A16" s="7" t="inlineStr">
        <is>
          <t>Total</t>
        </is>
      </c>
      <c r="C16" s="8">
        <f>SUM(C5:C15)</f>
        <v/>
      </c>
      <c r="D16" s="8">
        <f>SUM(D5:D15)</f>
        <v/>
      </c>
      <c r="E16" s="8">
        <f>SUM(E5:E15)</f>
        <v/>
      </c>
      <c r="F16" s="8">
        <f>SUM(F5:F15)</f>
        <v/>
      </c>
      <c r="G16" s="8">
        <f>SUM(G5:G15)</f>
        <v/>
      </c>
      <c r="H16" s="8">
        <f>SUM(H5:H15)</f>
        <v/>
      </c>
      <c r="I16" s="8">
        <f>SUM(I5:I15)</f>
        <v/>
      </c>
      <c r="J16" s="8">
        <f>SUM(J5:J15)</f>
        <v/>
      </c>
      <c r="K16" s="8">
        <f>SUM(K5:K15)</f>
        <v/>
      </c>
      <c r="L16" s="8">
        <f>SUM(L5:L15)</f>
        <v/>
      </c>
      <c r="M16" s="8">
        <f>SUM(M5:M15)</f>
        <v/>
      </c>
      <c r="N16" s="8">
        <f>SUM(N5:N15)</f>
        <v/>
      </c>
      <c r="O16" s="8">
        <f>SUM(O5:O15)</f>
        <v/>
      </c>
    </row>
    <row r="18">
      <c r="A18" s="3" t="inlineStr">
        <is>
          <t>Market share</t>
        </is>
      </c>
      <c r="B18" s="3" t="inlineStr">
        <is>
          <t>Grupo (rótulo Anatel)</t>
        </is>
      </c>
      <c r="C18" s="4" t="inlineStr">
        <is>
          <t>09/25</t>
        </is>
      </c>
      <c r="D18" s="4" t="inlineStr">
        <is>
          <t>10/25</t>
        </is>
      </c>
      <c r="E18" s="4" t="inlineStr">
        <is>
          <t>11/25</t>
        </is>
      </c>
      <c r="F18" s="4" t="inlineStr">
        <is>
          <t>12/25</t>
        </is>
      </c>
      <c r="G18" s="4" t="inlineStr">
        <is>
          <t>01/26</t>
        </is>
      </c>
      <c r="H18" s="4" t="inlineStr">
        <is>
          <t>02/26</t>
        </is>
      </c>
      <c r="I18" s="4" t="inlineStr">
        <is>
          <t>03/26</t>
        </is>
      </c>
      <c r="J18" s="4" t="inlineStr">
        <is>
          <t>04/26</t>
        </is>
      </c>
      <c r="K18" s="4" t="inlineStr">
        <is>
          <t>05/26</t>
        </is>
      </c>
      <c r="L18" s="4" t="inlineStr">
        <is>
          <t>06/26</t>
        </is>
      </c>
      <c r="M18" s="4" t="inlineStr">
        <is>
          <t>07/26</t>
        </is>
      </c>
      <c r="N18" s="4" t="inlineStr">
        <is>
          <t>08/26</t>
        </is>
      </c>
      <c r="O18" s="4" t="inlineStr">
        <is>
          <t>09/26</t>
        </is>
      </c>
    </row>
    <row r="19">
      <c r="A19" s="5">
        <f>A5</f>
        <v/>
      </c>
      <c r="B19" s="2">
        <f>B5</f>
        <v/>
      </c>
      <c r="C19" s="9">
        <f>IF(C$16=0,0,C5/C$16)</f>
        <v/>
      </c>
      <c r="D19" s="9">
        <f>IF(D$16=0,0,D5/D$16)</f>
        <v/>
      </c>
      <c r="E19" s="9">
        <f>IF(E$16=0,0,E5/E$16)</f>
        <v/>
      </c>
      <c r="F19" s="9">
        <f>IF(F$16=0,0,F5/F$16)</f>
        <v/>
      </c>
      <c r="G19" s="9">
        <f>IF(G$16=0,0,G5/G$16)</f>
        <v/>
      </c>
      <c r="H19" s="9">
        <f>IF(H$16=0,0,H5/H$16)</f>
        <v/>
      </c>
      <c r="I19" s="9">
        <f>IF(I$16=0,0,I5/I$16)</f>
        <v/>
      </c>
      <c r="J19" s="9">
        <f>IF(J$16=0,0,J5/J$16)</f>
        <v/>
      </c>
      <c r="K19" s="9">
        <f>IF(K$16=0,0,K5/K$16)</f>
        <v/>
      </c>
      <c r="L19" s="9">
        <f>IF(L$16=0,0,L5/L$16)</f>
        <v/>
      </c>
      <c r="M19" s="9">
        <f>IF(M$16=0,0,M5/M$16)</f>
        <v/>
      </c>
      <c r="N19" s="9">
        <f>IF(N$16=0,0,N5/N$16)</f>
        <v/>
      </c>
      <c r="O19" s="9">
        <f>IF(O$16=0,0,O5/O$16)</f>
        <v/>
      </c>
    </row>
    <row r="20">
      <c r="A20" s="5">
        <f>A6</f>
        <v/>
      </c>
      <c r="B20" s="2">
        <f>B6</f>
        <v/>
      </c>
      <c r="C20" s="9">
        <f>IF(C$16=0,0,C6/C$16)</f>
        <v/>
      </c>
      <c r="D20" s="9">
        <f>IF(D$16=0,0,D6/D$16)</f>
        <v/>
      </c>
      <c r="E20" s="9">
        <f>IF(E$16=0,0,E6/E$16)</f>
        <v/>
      </c>
      <c r="F20" s="9">
        <f>IF(F$16=0,0,F6/F$16)</f>
        <v/>
      </c>
      <c r="G20" s="9">
        <f>IF(G$16=0,0,G6/G$16)</f>
        <v/>
      </c>
      <c r="H20" s="9">
        <f>IF(H$16=0,0,H6/H$16)</f>
        <v/>
      </c>
      <c r="I20" s="9">
        <f>IF(I$16=0,0,I6/I$16)</f>
        <v/>
      </c>
      <c r="J20" s="9">
        <f>IF(J$16=0,0,J6/J$16)</f>
        <v/>
      </c>
      <c r="K20" s="9">
        <f>IF(K$16=0,0,K6/K$16)</f>
        <v/>
      </c>
      <c r="L20" s="9">
        <f>IF(L$16=0,0,L6/L$16)</f>
        <v/>
      </c>
      <c r="M20" s="9">
        <f>IF(M$16=0,0,M6/M$16)</f>
        <v/>
      </c>
      <c r="N20" s="9">
        <f>IF(N$16=0,0,N6/N$16)</f>
        <v/>
      </c>
      <c r="O20" s="9">
        <f>IF(O$16=0,0,O6/O$16)</f>
        <v/>
      </c>
    </row>
    <row r="21">
      <c r="A21" s="5">
        <f>A7</f>
        <v/>
      </c>
      <c r="B21" s="2">
        <f>B7</f>
        <v/>
      </c>
      <c r="C21" s="9">
        <f>IF(C$16=0,0,C7/C$16)</f>
        <v/>
      </c>
      <c r="D21" s="9">
        <f>IF(D$16=0,0,D7/D$16)</f>
        <v/>
      </c>
      <c r="E21" s="9">
        <f>IF(E$16=0,0,E7/E$16)</f>
        <v/>
      </c>
      <c r="F21" s="9">
        <f>IF(F$16=0,0,F7/F$16)</f>
        <v/>
      </c>
      <c r="G21" s="9">
        <f>IF(G$16=0,0,G7/G$16)</f>
        <v/>
      </c>
      <c r="H21" s="9">
        <f>IF(H$16=0,0,H7/H$16)</f>
        <v/>
      </c>
      <c r="I21" s="9">
        <f>IF(I$16=0,0,I7/I$16)</f>
        <v/>
      </c>
      <c r="J21" s="9">
        <f>IF(J$16=0,0,J7/J$16)</f>
        <v/>
      </c>
      <c r="K21" s="9">
        <f>IF(K$16=0,0,K7/K$16)</f>
        <v/>
      </c>
      <c r="L21" s="9">
        <f>IF(L$16=0,0,L7/L$16)</f>
        <v/>
      </c>
      <c r="M21" s="9">
        <f>IF(M$16=0,0,M7/M$16)</f>
        <v/>
      </c>
      <c r="N21" s="9">
        <f>IF(N$16=0,0,N7/N$16)</f>
        <v/>
      </c>
      <c r="O21" s="9">
        <f>IF(O$16=0,0,O7/O$16)</f>
        <v/>
      </c>
    </row>
    <row r="22">
      <c r="A22" s="5">
        <f>A8</f>
        <v/>
      </c>
      <c r="B22" s="2">
        <f>B8</f>
        <v/>
      </c>
      <c r="C22" s="9">
        <f>IF(C$16=0,0,C8/C$16)</f>
        <v/>
      </c>
      <c r="D22" s="9">
        <f>IF(D$16=0,0,D8/D$16)</f>
        <v/>
      </c>
      <c r="E22" s="9">
        <f>IF(E$16=0,0,E8/E$16)</f>
        <v/>
      </c>
      <c r="F22" s="9">
        <f>IF(F$16=0,0,F8/F$16)</f>
        <v/>
      </c>
      <c r="G22" s="9">
        <f>IF(G$16=0,0,G8/G$16)</f>
        <v/>
      </c>
      <c r="H22" s="9">
        <f>IF(H$16=0,0,H8/H$16)</f>
        <v/>
      </c>
      <c r="I22" s="9">
        <f>IF(I$16=0,0,I8/I$16)</f>
        <v/>
      </c>
      <c r="J22" s="9">
        <f>IF(J$16=0,0,J8/J$16)</f>
        <v/>
      </c>
      <c r="K22" s="9">
        <f>IF(K$16=0,0,K8/K$16)</f>
        <v/>
      </c>
      <c r="L22" s="9">
        <f>IF(L$16=0,0,L8/L$16)</f>
        <v/>
      </c>
      <c r="M22" s="9">
        <f>IF(M$16=0,0,M8/M$16)</f>
        <v/>
      </c>
      <c r="N22" s="9">
        <f>IF(N$16=0,0,N8/N$16)</f>
        <v/>
      </c>
      <c r="O22" s="9">
        <f>IF(O$16=0,0,O8/O$16)</f>
        <v/>
      </c>
    </row>
    <row r="23">
      <c r="A23" s="5">
        <f>A9</f>
        <v/>
      </c>
      <c r="B23" s="2">
        <f>B9</f>
        <v/>
      </c>
      <c r="C23" s="9">
        <f>IF(C$16=0,0,C9/C$16)</f>
        <v/>
      </c>
      <c r="D23" s="9">
        <f>IF(D$16=0,0,D9/D$16)</f>
        <v/>
      </c>
      <c r="E23" s="9">
        <f>IF(E$16=0,0,E9/E$16)</f>
        <v/>
      </c>
      <c r="F23" s="9">
        <f>IF(F$16=0,0,F9/F$16)</f>
        <v/>
      </c>
      <c r="G23" s="9">
        <f>IF(G$16=0,0,G9/G$16)</f>
        <v/>
      </c>
      <c r="H23" s="9">
        <f>IF(H$16=0,0,H9/H$16)</f>
        <v/>
      </c>
      <c r="I23" s="9">
        <f>IF(I$16=0,0,I9/I$16)</f>
        <v/>
      </c>
      <c r="J23" s="9">
        <f>IF(J$16=0,0,J9/J$16)</f>
        <v/>
      </c>
      <c r="K23" s="9">
        <f>IF(K$16=0,0,K9/K$16)</f>
        <v/>
      </c>
      <c r="L23" s="9">
        <f>IF(L$16=0,0,L9/L$16)</f>
        <v/>
      </c>
      <c r="M23" s="9">
        <f>IF(M$16=0,0,M9/M$16)</f>
        <v/>
      </c>
      <c r="N23" s="9">
        <f>IF(N$16=0,0,N9/N$16)</f>
        <v/>
      </c>
      <c r="O23" s="9">
        <f>IF(O$16=0,0,O9/O$16)</f>
        <v/>
      </c>
    </row>
    <row r="24">
      <c r="A24" s="5">
        <f>A10</f>
        <v/>
      </c>
      <c r="B24" s="2">
        <f>B10</f>
        <v/>
      </c>
      <c r="C24" s="9">
        <f>IF(C$16=0,0,C10/C$16)</f>
        <v/>
      </c>
      <c r="D24" s="9">
        <f>IF(D$16=0,0,D10/D$16)</f>
        <v/>
      </c>
      <c r="E24" s="9">
        <f>IF(E$16=0,0,E10/E$16)</f>
        <v/>
      </c>
      <c r="F24" s="9">
        <f>IF(F$16=0,0,F10/F$16)</f>
        <v/>
      </c>
      <c r="G24" s="9">
        <f>IF(G$16=0,0,G10/G$16)</f>
        <v/>
      </c>
      <c r="H24" s="9">
        <f>IF(H$16=0,0,H10/H$16)</f>
        <v/>
      </c>
      <c r="I24" s="9">
        <f>IF(I$16=0,0,I10/I$16)</f>
        <v/>
      </c>
      <c r="J24" s="9">
        <f>IF(J$16=0,0,J10/J$16)</f>
        <v/>
      </c>
      <c r="K24" s="9">
        <f>IF(K$16=0,0,K10/K$16)</f>
        <v/>
      </c>
      <c r="L24" s="9">
        <f>IF(L$16=0,0,L10/L$16)</f>
        <v/>
      </c>
      <c r="M24" s="9">
        <f>IF(M$16=0,0,M10/M$16)</f>
        <v/>
      </c>
      <c r="N24" s="9">
        <f>IF(N$16=0,0,N10/N$16)</f>
        <v/>
      </c>
      <c r="O24" s="9">
        <f>IF(O$16=0,0,O10/O$16)</f>
        <v/>
      </c>
    </row>
    <row r="25">
      <c r="A25" s="5">
        <f>A11</f>
        <v/>
      </c>
      <c r="B25" s="2">
        <f>B11</f>
        <v/>
      </c>
      <c r="C25" s="9">
        <f>IF(C$16=0,0,C11/C$16)</f>
        <v/>
      </c>
      <c r="D25" s="9">
        <f>IF(D$16=0,0,D11/D$16)</f>
        <v/>
      </c>
      <c r="E25" s="9">
        <f>IF(E$16=0,0,E11/E$16)</f>
        <v/>
      </c>
      <c r="F25" s="9">
        <f>IF(F$16=0,0,F11/F$16)</f>
        <v/>
      </c>
      <c r="G25" s="9">
        <f>IF(G$16=0,0,G11/G$16)</f>
        <v/>
      </c>
      <c r="H25" s="9">
        <f>IF(H$16=0,0,H11/H$16)</f>
        <v/>
      </c>
      <c r="I25" s="9">
        <f>IF(I$16=0,0,I11/I$16)</f>
        <v/>
      </c>
      <c r="J25" s="9">
        <f>IF(J$16=0,0,J11/J$16)</f>
        <v/>
      </c>
      <c r="K25" s="9">
        <f>IF(K$16=0,0,K11/K$16)</f>
        <v/>
      </c>
      <c r="L25" s="9">
        <f>IF(L$16=0,0,L11/L$16)</f>
        <v/>
      </c>
      <c r="M25" s="9">
        <f>IF(M$16=0,0,M11/M$16)</f>
        <v/>
      </c>
      <c r="N25" s="9">
        <f>IF(N$16=0,0,N11/N$16)</f>
        <v/>
      </c>
      <c r="O25" s="9">
        <f>IF(O$16=0,0,O11/O$16)</f>
        <v/>
      </c>
    </row>
    <row r="26">
      <c r="A26" s="5">
        <f>A12</f>
        <v/>
      </c>
      <c r="B26" s="2">
        <f>B12</f>
        <v/>
      </c>
      <c r="C26" s="9">
        <f>IF(C$16=0,0,C12/C$16)</f>
        <v/>
      </c>
      <c r="D26" s="9">
        <f>IF(D$16=0,0,D12/D$16)</f>
        <v/>
      </c>
      <c r="E26" s="9">
        <f>IF(E$16=0,0,E12/E$16)</f>
        <v/>
      </c>
      <c r="F26" s="9">
        <f>IF(F$16=0,0,F12/F$16)</f>
        <v/>
      </c>
      <c r="G26" s="9">
        <f>IF(G$16=0,0,G12/G$16)</f>
        <v/>
      </c>
      <c r="H26" s="9">
        <f>IF(H$16=0,0,H12/H$16)</f>
        <v/>
      </c>
      <c r="I26" s="9">
        <f>IF(I$16=0,0,I12/I$16)</f>
        <v/>
      </c>
      <c r="J26" s="9">
        <f>IF(J$16=0,0,J12/J$16)</f>
        <v/>
      </c>
      <c r="K26" s="9">
        <f>IF(K$16=0,0,K12/K$16)</f>
        <v/>
      </c>
      <c r="L26" s="9">
        <f>IF(L$16=0,0,L12/L$16)</f>
        <v/>
      </c>
      <c r="M26" s="9">
        <f>IF(M$16=0,0,M12/M$16)</f>
        <v/>
      </c>
      <c r="N26" s="9">
        <f>IF(N$16=0,0,N12/N$16)</f>
        <v/>
      </c>
      <c r="O26" s="9">
        <f>IF(O$16=0,0,O12/O$16)</f>
        <v/>
      </c>
    </row>
    <row r="27">
      <c r="A27" s="5">
        <f>A13</f>
        <v/>
      </c>
      <c r="B27" s="2">
        <f>B13</f>
        <v/>
      </c>
      <c r="C27" s="9">
        <f>IF(C$16=0,0,C13/C$16)</f>
        <v/>
      </c>
      <c r="D27" s="9">
        <f>IF(D$16=0,0,D13/D$16)</f>
        <v/>
      </c>
      <c r="E27" s="9">
        <f>IF(E$16=0,0,E13/E$16)</f>
        <v/>
      </c>
      <c r="F27" s="9">
        <f>IF(F$16=0,0,F13/F$16)</f>
        <v/>
      </c>
      <c r="G27" s="9">
        <f>IF(G$16=0,0,G13/G$16)</f>
        <v/>
      </c>
      <c r="H27" s="9">
        <f>IF(H$16=0,0,H13/H$16)</f>
        <v/>
      </c>
      <c r="I27" s="9">
        <f>IF(I$16=0,0,I13/I$16)</f>
        <v/>
      </c>
      <c r="J27" s="9">
        <f>IF(J$16=0,0,J13/J$16)</f>
        <v/>
      </c>
      <c r="K27" s="9">
        <f>IF(K$16=0,0,K13/K$16)</f>
        <v/>
      </c>
      <c r="L27" s="9">
        <f>IF(L$16=0,0,L13/L$16)</f>
        <v/>
      </c>
      <c r="M27" s="9">
        <f>IF(M$16=0,0,M13/M$16)</f>
        <v/>
      </c>
      <c r="N27" s="9">
        <f>IF(N$16=0,0,N13/N$16)</f>
        <v/>
      </c>
      <c r="O27" s="9">
        <f>IF(O$16=0,0,O13/O$16)</f>
        <v/>
      </c>
    </row>
    <row r="28">
      <c r="A28" s="5">
        <f>A14</f>
        <v/>
      </c>
      <c r="B28" s="2">
        <f>B14</f>
        <v/>
      </c>
      <c r="C28" s="9">
        <f>IF(C$16=0,0,C14/C$16)</f>
        <v/>
      </c>
      <c r="D28" s="9">
        <f>IF(D$16=0,0,D14/D$16)</f>
        <v/>
      </c>
      <c r="E28" s="9">
        <f>IF(E$16=0,0,E14/E$16)</f>
        <v/>
      </c>
      <c r="F28" s="9">
        <f>IF(F$16=0,0,F14/F$16)</f>
        <v/>
      </c>
      <c r="G28" s="9">
        <f>IF(G$16=0,0,G14/G$16)</f>
        <v/>
      </c>
      <c r="H28" s="9">
        <f>IF(H$16=0,0,H14/H$16)</f>
        <v/>
      </c>
      <c r="I28" s="9">
        <f>IF(I$16=0,0,I14/I$16)</f>
        <v/>
      </c>
      <c r="J28" s="9">
        <f>IF(J$16=0,0,J14/J$16)</f>
        <v/>
      </c>
      <c r="K28" s="9">
        <f>IF(K$16=0,0,K14/K$16)</f>
        <v/>
      </c>
      <c r="L28" s="9">
        <f>IF(L$16=0,0,L14/L$16)</f>
        <v/>
      </c>
      <c r="M28" s="9">
        <f>IF(M$16=0,0,M14/M$16)</f>
        <v/>
      </c>
      <c r="N28" s="9">
        <f>IF(N$16=0,0,N14/N$16)</f>
        <v/>
      </c>
      <c r="O28" s="9">
        <f>IF(O$16=0,0,O14/O$16)</f>
        <v/>
      </c>
    </row>
    <row r="29">
      <c r="A29" s="5">
        <f>A15</f>
        <v/>
      </c>
      <c r="B29" s="2">
        <f>B15</f>
        <v/>
      </c>
      <c r="C29" s="9">
        <f>IF(C$16=0,0,C15/C$16)</f>
        <v/>
      </c>
      <c r="D29" s="9">
        <f>IF(D$16=0,0,D15/D$16)</f>
        <v/>
      </c>
      <c r="E29" s="9">
        <f>IF(E$16=0,0,E15/E$16)</f>
        <v/>
      </c>
      <c r="F29" s="9">
        <f>IF(F$16=0,0,F15/F$16)</f>
        <v/>
      </c>
      <c r="G29" s="9">
        <f>IF(G$16=0,0,G15/G$16)</f>
        <v/>
      </c>
      <c r="H29" s="9">
        <f>IF(H$16=0,0,H15/H$16)</f>
        <v/>
      </c>
      <c r="I29" s="9">
        <f>IF(I$16=0,0,I15/I$16)</f>
        <v/>
      </c>
      <c r="J29" s="9">
        <f>IF(J$16=0,0,J15/J$16)</f>
        <v/>
      </c>
      <c r="K29" s="9">
        <f>IF(K$16=0,0,K15/K$16)</f>
        <v/>
      </c>
      <c r="L29" s="9">
        <f>IF(L$16=0,0,L15/L$16)</f>
        <v/>
      </c>
      <c r="M29" s="9">
        <f>IF(M$16=0,0,M15/M$16)</f>
        <v/>
      </c>
      <c r="N29" s="9">
        <f>IF(N$16=0,0,N15/N$16)</f>
        <v/>
      </c>
      <c r="O29" s="9">
        <f>IF(O$16=0,0,O15/O$16)</f>
        <v/>
      </c>
    </row>
    <row r="30">
      <c r="A30" s="7">
        <f>A16</f>
        <v/>
      </c>
      <c r="C30" s="10">
        <f>IF(C$16=0,0,C16/C$16)</f>
        <v/>
      </c>
      <c r="D30" s="10">
        <f>IF(D$16=0,0,D16/D$16)</f>
        <v/>
      </c>
      <c r="E30" s="10">
        <f>IF(E$16=0,0,E16/E$16)</f>
        <v/>
      </c>
      <c r="F30" s="10">
        <f>IF(F$16=0,0,F16/F$16)</f>
        <v/>
      </c>
      <c r="G30" s="10">
        <f>IF(G$16=0,0,G16/G$16)</f>
        <v/>
      </c>
      <c r="H30" s="10">
        <f>IF(H$16=0,0,H16/H$16)</f>
        <v/>
      </c>
      <c r="I30" s="10">
        <f>IF(I$16=0,0,I16/I$16)</f>
        <v/>
      </c>
      <c r="J30" s="10">
        <f>IF(J$16=0,0,J16/J$16)</f>
        <v/>
      </c>
      <c r="K30" s="10">
        <f>IF(K$16=0,0,K16/K$16)</f>
        <v/>
      </c>
      <c r="L30" s="10">
        <f>IF(L$16=0,0,L16/L$16)</f>
        <v/>
      </c>
      <c r="M30" s="10">
        <f>IF(M$16=0,0,M16/M$16)</f>
        <v/>
      </c>
      <c r="N30" s="10">
        <f>IF(N$16=0,0,N16/N$16)</f>
        <v/>
      </c>
      <c r="O30" s="10">
        <f>IF(O$16=0,0,O16/O$16)</f>
        <v/>
      </c>
    </row>
    <row r="32">
      <c r="A32" s="3" t="inlineStr">
        <is>
          <t>Adições líquidas (m/m)</t>
        </is>
      </c>
      <c r="B32" s="3" t="inlineStr">
        <is>
          <t>Grupo (rótulo Anatel)</t>
        </is>
      </c>
      <c r="C32" s="4" t="inlineStr">
        <is>
          <t>09/25</t>
        </is>
      </c>
      <c r="D32" s="4" t="inlineStr">
        <is>
          <t>10/25</t>
        </is>
      </c>
      <c r="E32" s="4" t="inlineStr">
        <is>
          <t>11/25</t>
        </is>
      </c>
      <c r="F32" s="4" t="inlineStr">
        <is>
          <t>12/25</t>
        </is>
      </c>
      <c r="G32" s="4" t="inlineStr">
        <is>
          <t>01/26</t>
        </is>
      </c>
      <c r="H32" s="4" t="inlineStr">
        <is>
          <t>02/26</t>
        </is>
      </c>
      <c r="I32" s="4" t="inlineStr">
        <is>
          <t>03/26</t>
        </is>
      </c>
      <c r="J32" s="4" t="inlineStr">
        <is>
          <t>04/26</t>
        </is>
      </c>
      <c r="K32" s="4" t="inlineStr">
        <is>
          <t>05/26</t>
        </is>
      </c>
      <c r="L32" s="4" t="inlineStr">
        <is>
          <t>06/26</t>
        </is>
      </c>
      <c r="M32" s="4" t="inlineStr">
        <is>
          <t>07/26</t>
        </is>
      </c>
      <c r="N32" s="4" t="inlineStr">
        <is>
          <t>08/26</t>
        </is>
      </c>
      <c r="O32" s="4" t="inlineStr">
        <is>
          <t>09/26</t>
        </is>
      </c>
    </row>
    <row r="33">
      <c r="A33" s="5">
        <f>A5</f>
        <v/>
      </c>
      <c r="B33" s="2">
        <f>B5</f>
        <v/>
      </c>
      <c r="D33" s="11">
        <f>D5-C5</f>
        <v/>
      </c>
      <c r="E33" s="11">
        <f>E5-D5</f>
        <v/>
      </c>
      <c r="F33" s="11">
        <f>F5-E5</f>
        <v/>
      </c>
      <c r="G33" s="11">
        <f>G5-F5</f>
        <v/>
      </c>
      <c r="H33" s="11">
        <f>H5-G5</f>
        <v/>
      </c>
      <c r="I33" s="11">
        <f>I5-H5</f>
        <v/>
      </c>
      <c r="J33" s="11">
        <f>J5-I5</f>
        <v/>
      </c>
      <c r="K33" s="11">
        <f>K5-J5</f>
        <v/>
      </c>
      <c r="L33" s="11">
        <f>L5-K5</f>
        <v/>
      </c>
      <c r="M33" s="11">
        <f>M5-L5</f>
        <v/>
      </c>
      <c r="N33" s="11">
        <f>N5-M5</f>
        <v/>
      </c>
      <c r="O33" s="11">
        <f>O5-N5</f>
        <v/>
      </c>
    </row>
    <row r="34">
      <c r="A34" s="5">
        <f>A6</f>
        <v/>
      </c>
      <c r="B34" s="2">
        <f>B6</f>
        <v/>
      </c>
      <c r="D34" s="11">
        <f>D6-C6</f>
        <v/>
      </c>
      <c r="E34" s="11">
        <f>E6-D6</f>
        <v/>
      </c>
      <c r="F34" s="11">
        <f>F6-E6</f>
        <v/>
      </c>
      <c r="G34" s="11">
        <f>G6-F6</f>
        <v/>
      </c>
      <c r="H34" s="11">
        <f>H6-G6</f>
        <v/>
      </c>
      <c r="I34" s="11">
        <f>I6-H6</f>
        <v/>
      </c>
      <c r="J34" s="11">
        <f>J6-I6</f>
        <v/>
      </c>
      <c r="K34" s="11">
        <f>K6-J6</f>
        <v/>
      </c>
      <c r="L34" s="11">
        <f>L6-K6</f>
        <v/>
      </c>
      <c r="M34" s="11">
        <f>M6-L6</f>
        <v/>
      </c>
      <c r="N34" s="11">
        <f>N6-M6</f>
        <v/>
      </c>
      <c r="O34" s="11">
        <f>O6-N6</f>
        <v/>
      </c>
    </row>
    <row r="35">
      <c r="A35" s="5">
        <f>A7</f>
        <v/>
      </c>
      <c r="B35" s="2">
        <f>B7</f>
        <v/>
      </c>
      <c r="D35" s="11">
        <f>D7-C7</f>
        <v/>
      </c>
      <c r="E35" s="11">
        <f>E7-D7</f>
        <v/>
      </c>
      <c r="F35" s="11">
        <f>F7-E7</f>
        <v/>
      </c>
      <c r="G35" s="11">
        <f>G7-F7</f>
        <v/>
      </c>
      <c r="H35" s="11">
        <f>H7-G7</f>
        <v/>
      </c>
      <c r="I35" s="11">
        <f>I7-H7</f>
        <v/>
      </c>
      <c r="J35" s="11">
        <f>J7-I7</f>
        <v/>
      </c>
      <c r="K35" s="11">
        <f>K7-J7</f>
        <v/>
      </c>
      <c r="L35" s="11">
        <f>L7-K7</f>
        <v/>
      </c>
      <c r="M35" s="11">
        <f>M7-L7</f>
        <v/>
      </c>
      <c r="N35" s="11">
        <f>N7-M7</f>
        <v/>
      </c>
      <c r="O35" s="11">
        <f>O7-N7</f>
        <v/>
      </c>
    </row>
    <row r="36">
      <c r="A36" s="5">
        <f>A8</f>
        <v/>
      </c>
      <c r="B36" s="2">
        <f>B8</f>
        <v/>
      </c>
      <c r="D36" s="11">
        <f>D8-C8</f>
        <v/>
      </c>
      <c r="E36" s="11">
        <f>E8-D8</f>
        <v/>
      </c>
      <c r="F36" s="11">
        <f>F8-E8</f>
        <v/>
      </c>
      <c r="G36" s="11">
        <f>G8-F8</f>
        <v/>
      </c>
      <c r="H36" s="11">
        <f>H8-G8</f>
        <v/>
      </c>
      <c r="I36" s="11">
        <f>I8-H8</f>
        <v/>
      </c>
      <c r="J36" s="11">
        <f>J8-I8</f>
        <v/>
      </c>
      <c r="K36" s="11">
        <f>K8-J8</f>
        <v/>
      </c>
      <c r="L36" s="11">
        <f>L8-K8</f>
        <v/>
      </c>
      <c r="M36" s="11">
        <f>M8-L8</f>
        <v/>
      </c>
      <c r="N36" s="11">
        <f>N8-M8</f>
        <v/>
      </c>
      <c r="O36" s="11">
        <f>O8-N8</f>
        <v/>
      </c>
    </row>
    <row r="37">
      <c r="A37" s="5">
        <f>A9</f>
        <v/>
      </c>
      <c r="B37" s="2">
        <f>B9</f>
        <v/>
      </c>
      <c r="D37" s="11">
        <f>D9-C9</f>
        <v/>
      </c>
      <c r="E37" s="11">
        <f>E9-D9</f>
        <v/>
      </c>
      <c r="F37" s="11">
        <f>F9-E9</f>
        <v/>
      </c>
      <c r="G37" s="11">
        <f>G9-F9</f>
        <v/>
      </c>
      <c r="H37" s="11">
        <f>H9-G9</f>
        <v/>
      </c>
      <c r="I37" s="11">
        <f>I9-H9</f>
        <v/>
      </c>
      <c r="J37" s="11">
        <f>J9-I9</f>
        <v/>
      </c>
      <c r="K37" s="11">
        <f>K9-J9</f>
        <v/>
      </c>
      <c r="L37" s="11">
        <f>L9-K9</f>
        <v/>
      </c>
      <c r="M37" s="11">
        <f>M9-L9</f>
        <v/>
      </c>
      <c r="N37" s="11">
        <f>N9-M9</f>
        <v/>
      </c>
      <c r="O37" s="11">
        <f>O9-N9</f>
        <v/>
      </c>
    </row>
    <row r="38">
      <c r="A38" s="5">
        <f>A10</f>
        <v/>
      </c>
      <c r="B38" s="2">
        <f>B10</f>
        <v/>
      </c>
      <c r="D38" s="11">
        <f>D10-C10</f>
        <v/>
      </c>
      <c r="E38" s="11">
        <f>E10-D10</f>
        <v/>
      </c>
      <c r="F38" s="11">
        <f>F10-E10</f>
        <v/>
      </c>
      <c r="G38" s="11">
        <f>G10-F10</f>
        <v/>
      </c>
      <c r="H38" s="11">
        <f>H10-G10</f>
        <v/>
      </c>
      <c r="I38" s="11">
        <f>I10-H10</f>
        <v/>
      </c>
      <c r="J38" s="11">
        <f>J10-I10</f>
        <v/>
      </c>
      <c r="K38" s="11">
        <f>K10-J10</f>
        <v/>
      </c>
      <c r="L38" s="11">
        <f>L10-K10</f>
        <v/>
      </c>
      <c r="M38" s="11">
        <f>M10-L10</f>
        <v/>
      </c>
      <c r="N38" s="11">
        <f>N10-M10</f>
        <v/>
      </c>
      <c r="O38" s="11">
        <f>O10-N10</f>
        <v/>
      </c>
    </row>
    <row r="39">
      <c r="A39" s="5">
        <f>A11</f>
        <v/>
      </c>
      <c r="B39" s="2">
        <f>B11</f>
        <v/>
      </c>
      <c r="D39" s="11">
        <f>D11-C11</f>
        <v/>
      </c>
      <c r="E39" s="11">
        <f>E11-D11</f>
        <v/>
      </c>
      <c r="F39" s="11">
        <f>F11-E11</f>
        <v/>
      </c>
      <c r="G39" s="11">
        <f>G11-F11</f>
        <v/>
      </c>
      <c r="H39" s="11">
        <f>H11-G11</f>
        <v/>
      </c>
      <c r="I39" s="11">
        <f>I11-H11</f>
        <v/>
      </c>
      <c r="J39" s="11">
        <f>J11-I11</f>
        <v/>
      </c>
      <c r="K39" s="11">
        <f>K11-J11</f>
        <v/>
      </c>
      <c r="L39" s="11">
        <f>L11-K11</f>
        <v/>
      </c>
      <c r="M39" s="11">
        <f>M11-L11</f>
        <v/>
      </c>
      <c r="N39" s="11">
        <f>N11-M11</f>
        <v/>
      </c>
      <c r="O39" s="11">
        <f>O11-N11</f>
        <v/>
      </c>
    </row>
    <row r="40">
      <c r="A40" s="5">
        <f>A12</f>
        <v/>
      </c>
      <c r="B40" s="2">
        <f>B12</f>
        <v/>
      </c>
      <c r="D40" s="11">
        <f>D12-C12</f>
        <v/>
      </c>
      <c r="E40" s="11">
        <f>E12-D12</f>
        <v/>
      </c>
      <c r="F40" s="11">
        <f>F12-E12</f>
        <v/>
      </c>
      <c r="G40" s="11">
        <f>G12-F12</f>
        <v/>
      </c>
      <c r="H40" s="11">
        <f>H12-G12</f>
        <v/>
      </c>
      <c r="I40" s="11">
        <f>I12-H12</f>
        <v/>
      </c>
      <c r="J40" s="11">
        <f>J12-I12</f>
        <v/>
      </c>
      <c r="K40" s="11">
        <f>K12-J12</f>
        <v/>
      </c>
      <c r="L40" s="11">
        <f>L12-K12</f>
        <v/>
      </c>
      <c r="M40" s="11">
        <f>M12-L12</f>
        <v/>
      </c>
      <c r="N40" s="11">
        <f>N12-M12</f>
        <v/>
      </c>
      <c r="O40" s="11">
        <f>O12-N12</f>
        <v/>
      </c>
    </row>
    <row r="41">
      <c r="A41" s="5">
        <f>A13</f>
        <v/>
      </c>
      <c r="B41" s="2">
        <f>B13</f>
        <v/>
      </c>
      <c r="D41" s="11">
        <f>D13-C13</f>
        <v/>
      </c>
      <c r="E41" s="11">
        <f>E13-D13</f>
        <v/>
      </c>
      <c r="F41" s="11">
        <f>F13-E13</f>
        <v/>
      </c>
      <c r="G41" s="11">
        <f>G13-F13</f>
        <v/>
      </c>
      <c r="H41" s="11">
        <f>H13-G13</f>
        <v/>
      </c>
      <c r="I41" s="11">
        <f>I13-H13</f>
        <v/>
      </c>
      <c r="J41" s="11">
        <f>J13-I13</f>
        <v/>
      </c>
      <c r="K41" s="11">
        <f>K13-J13</f>
        <v/>
      </c>
      <c r="L41" s="11">
        <f>L13-K13</f>
        <v/>
      </c>
      <c r="M41" s="11">
        <f>M13-L13</f>
        <v/>
      </c>
      <c r="N41" s="11">
        <f>N13-M13</f>
        <v/>
      </c>
      <c r="O41" s="11">
        <f>O13-N13</f>
        <v/>
      </c>
    </row>
    <row r="42">
      <c r="A42" s="5">
        <f>A14</f>
        <v/>
      </c>
      <c r="B42" s="2">
        <f>B14</f>
        <v/>
      </c>
      <c r="D42" s="11">
        <f>D14-C14</f>
        <v/>
      </c>
      <c r="E42" s="11">
        <f>E14-D14</f>
        <v/>
      </c>
      <c r="F42" s="11">
        <f>F14-E14</f>
        <v/>
      </c>
      <c r="G42" s="11">
        <f>G14-F14</f>
        <v/>
      </c>
      <c r="H42" s="11">
        <f>H14-G14</f>
        <v/>
      </c>
      <c r="I42" s="11">
        <f>I14-H14</f>
        <v/>
      </c>
      <c r="J42" s="11">
        <f>J14-I14</f>
        <v/>
      </c>
      <c r="K42" s="11">
        <f>K14-J14</f>
        <v/>
      </c>
      <c r="L42" s="11">
        <f>L14-K14</f>
        <v/>
      </c>
      <c r="M42" s="11">
        <f>M14-L14</f>
        <v/>
      </c>
      <c r="N42" s="11">
        <f>N14-M14</f>
        <v/>
      </c>
      <c r="O42" s="11">
        <f>O14-N14</f>
        <v/>
      </c>
    </row>
    <row r="43">
      <c r="A43" s="5">
        <f>A15</f>
        <v/>
      </c>
      <c r="B43" s="2">
        <f>B15</f>
        <v/>
      </c>
      <c r="D43" s="11">
        <f>D15-C15</f>
        <v/>
      </c>
      <c r="E43" s="11">
        <f>E15-D15</f>
        <v/>
      </c>
      <c r="F43" s="11">
        <f>F15-E15</f>
        <v/>
      </c>
      <c r="G43" s="11">
        <f>G15-F15</f>
        <v/>
      </c>
      <c r="H43" s="11">
        <f>H15-G15</f>
        <v/>
      </c>
      <c r="I43" s="11">
        <f>I15-H15</f>
        <v/>
      </c>
      <c r="J43" s="11">
        <f>J15-I15</f>
        <v/>
      </c>
      <c r="K43" s="11">
        <f>K15-J15</f>
        <v/>
      </c>
      <c r="L43" s="11">
        <f>L15-K15</f>
        <v/>
      </c>
      <c r="M43" s="11">
        <f>M15-L15</f>
        <v/>
      </c>
      <c r="N43" s="11">
        <f>N15-M15</f>
        <v/>
      </c>
      <c r="O43" s="11">
        <f>O15-N15</f>
        <v/>
      </c>
    </row>
    <row r="44">
      <c r="A44" s="7">
        <f>A16</f>
        <v/>
      </c>
      <c r="D44" s="12">
        <f>D16-C16</f>
        <v/>
      </c>
      <c r="E44" s="12">
        <f>E16-D16</f>
        <v/>
      </c>
      <c r="F44" s="12">
        <f>F16-E16</f>
        <v/>
      </c>
      <c r="G44" s="12">
        <f>G16-F16</f>
        <v/>
      </c>
      <c r="H44" s="12">
        <f>H16-G16</f>
        <v/>
      </c>
      <c r="I44" s="12">
        <f>I16-H16</f>
        <v/>
      </c>
      <c r="J44" s="12">
        <f>J16-I16</f>
        <v/>
      </c>
      <c r="K44" s="12">
        <f>K16-J16</f>
        <v/>
      </c>
      <c r="L44" s="12">
        <f>L16-K16</f>
        <v/>
      </c>
      <c r="M44" s="12">
        <f>M16-L16</f>
        <v/>
      </c>
      <c r="N44" s="12">
        <f>N16-M16</f>
        <v/>
      </c>
      <c r="O44" s="12">
        <f>O16-N16</f>
        <v/>
      </c>
    </row>
    <row r="46">
      <c r="A46" s="3" t="inlineStr">
        <is>
          <t>Último mês vs 09/25</t>
        </is>
      </c>
      <c r="B46" s="3" t="inlineStr"/>
      <c r="C46" s="3" t="inlineStr">
        <is>
          <t>Var. a/a</t>
        </is>
      </c>
      <c r="D46" s="3" t="inlineStr">
        <is>
          <t>Δ share (p.p.)</t>
        </is>
      </c>
    </row>
    <row r="47">
      <c r="A47" s="5">
        <f>A5</f>
        <v/>
      </c>
      <c r="C47" s="13">
        <f>IF(C5=0,0,O5/C5-1)</f>
        <v/>
      </c>
      <c r="D47" s="14">
        <f>(O19-C19)*100</f>
        <v/>
      </c>
    </row>
    <row r="48">
      <c r="A48" s="5">
        <f>A6</f>
        <v/>
      </c>
      <c r="C48" s="13">
        <f>IF(C6=0,0,O6/C6-1)</f>
        <v/>
      </c>
      <c r="D48" s="14">
        <f>(O20-C20)*100</f>
        <v/>
      </c>
    </row>
    <row r="49">
      <c r="A49" s="5">
        <f>A7</f>
        <v/>
      </c>
      <c r="C49" s="13">
        <f>IF(C7=0,0,O7/C7-1)</f>
        <v/>
      </c>
      <c r="D49" s="14">
        <f>(O21-C21)*100</f>
        <v/>
      </c>
    </row>
    <row r="50">
      <c r="A50" s="5">
        <f>A8</f>
        <v/>
      </c>
      <c r="C50" s="13">
        <f>IF(C8=0,0,O8/C8-1)</f>
        <v/>
      </c>
      <c r="D50" s="14">
        <f>(O22-C22)*100</f>
        <v/>
      </c>
    </row>
    <row r="51">
      <c r="A51" s="5">
        <f>A9</f>
        <v/>
      </c>
      <c r="C51" s="13">
        <f>IF(C9=0,0,O9/C9-1)</f>
        <v/>
      </c>
      <c r="D51" s="14">
        <f>(O23-C23)*100</f>
        <v/>
      </c>
    </row>
    <row r="52">
      <c r="A52" s="5">
        <f>A10</f>
        <v/>
      </c>
      <c r="C52" s="13">
        <f>IF(C10=0,0,O10/C10-1)</f>
        <v/>
      </c>
      <c r="D52" s="14">
        <f>(O24-C24)*100</f>
        <v/>
      </c>
    </row>
    <row r="53">
      <c r="A53" s="5">
        <f>A11</f>
        <v/>
      </c>
      <c r="C53" s="13">
        <f>IF(C11=0,0,O11/C11-1)</f>
        <v/>
      </c>
      <c r="D53" s="14">
        <f>(O25-C25)*100</f>
        <v/>
      </c>
    </row>
    <row r="54">
      <c r="A54" s="5">
        <f>A12</f>
        <v/>
      </c>
      <c r="C54" s="13">
        <f>IF(C12=0,0,O12/C12-1)</f>
        <v/>
      </c>
      <c r="D54" s="14">
        <f>(O26-C26)*100</f>
        <v/>
      </c>
    </row>
    <row r="55">
      <c r="A55" s="5">
        <f>A13</f>
        <v/>
      </c>
      <c r="C55" s="13">
        <f>IF(C13=0,0,O13/C13-1)</f>
        <v/>
      </c>
      <c r="D55" s="14">
        <f>(O27-C27)*100</f>
        <v/>
      </c>
    </row>
    <row r="56">
      <c r="A56" s="5">
        <f>A14</f>
        <v/>
      </c>
      <c r="C56" s="13">
        <f>IF(C14=0,0,O14/C14-1)</f>
        <v/>
      </c>
      <c r="D56" s="14">
        <f>(O28-C28)*100</f>
        <v/>
      </c>
    </row>
    <row r="57">
      <c r="A57" s="5">
        <f>A15</f>
        <v/>
      </c>
      <c r="C57" s="13">
        <f>IF(C15=0,0,O15/C15-1)</f>
        <v/>
      </c>
      <c r="D57" s="14">
        <f>(O29-C29)*100</f>
        <v/>
      </c>
    </row>
    <row r="58">
      <c r="A58" s="7">
        <f>A16</f>
        <v/>
      </c>
      <c r="C58" s="13">
        <f>IF(C16=0,0,O16/C16-1)</f>
        <v/>
      </c>
      <c r="D58" s="14">
        <f>(O30-C30)*100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Móvel pós-pago</t>
        </is>
      </c>
    </row>
    <row r="2">
      <c r="A2" s="2" t="inlineStr">
        <is>
          <t>Mesma base (sem M2M e ponto de serviço), só pós-pago</t>
        </is>
      </c>
    </row>
    <row r="4">
      <c r="A4" s="3" t="inlineStr">
        <is>
          <t>Acessos</t>
        </is>
      </c>
      <c r="B4" s="3" t="inlineStr">
        <is>
          <t>Grupo (rótulo Anatel)</t>
        </is>
      </c>
      <c r="C4" s="4" t="inlineStr">
        <is>
          <t>09/25</t>
        </is>
      </c>
      <c r="D4" s="4" t="inlineStr">
        <is>
          <t>10/25</t>
        </is>
      </c>
      <c r="E4" s="4" t="inlineStr">
        <is>
          <t>11/25</t>
        </is>
      </c>
      <c r="F4" s="4" t="inlineStr">
        <is>
          <t>12/25</t>
        </is>
      </c>
      <c r="G4" s="4" t="inlineStr">
        <is>
          <t>01/26</t>
        </is>
      </c>
      <c r="H4" s="4" t="inlineStr">
        <is>
          <t>02/26</t>
        </is>
      </c>
      <c r="I4" s="4" t="inlineStr">
        <is>
          <t>03/26</t>
        </is>
      </c>
      <c r="J4" s="4" t="inlineStr">
        <is>
          <t>04/26</t>
        </is>
      </c>
      <c r="K4" s="4" t="inlineStr">
        <is>
          <t>05/26</t>
        </is>
      </c>
      <c r="L4" s="4" t="inlineStr">
        <is>
          <t>06/26</t>
        </is>
      </c>
      <c r="M4" s="4" t="inlineStr">
        <is>
          <t>07/26</t>
        </is>
      </c>
      <c r="N4" s="4" t="inlineStr">
        <is>
          <t>08/26</t>
        </is>
      </c>
      <c r="O4" s="4" t="inlineStr">
        <is>
          <t>09/26</t>
        </is>
      </c>
    </row>
    <row r="5">
      <c r="A5" s="5" t="inlineStr">
        <is>
          <t>Vivo</t>
        </is>
      </c>
      <c r="B5" s="2" t="inlineStr">
        <is>
          <t>TELEFONICA</t>
        </is>
      </c>
      <c r="C5" s="6" t="n">
        <v>51177046</v>
      </c>
      <c r="D5" s="6" t="n">
        <v>51390360</v>
      </c>
      <c r="E5" s="6" t="n">
        <v>51606349</v>
      </c>
      <c r="F5" s="6" t="n">
        <v>51886973</v>
      </c>
      <c r="G5" s="6" t="n">
        <v>52169296</v>
      </c>
      <c r="H5" s="6" t="n">
        <v>52427303</v>
      </c>
      <c r="I5" s="6" t="n">
        <v>52716713</v>
      </c>
      <c r="J5" s="6" t="n">
        <v>52952201</v>
      </c>
      <c r="K5" s="6" t="n">
        <v>53240072</v>
      </c>
      <c r="L5" s="6" t="n">
        <v>53447714</v>
      </c>
      <c r="M5" s="6" t="n">
        <v>53793159</v>
      </c>
      <c r="N5" s="6" t="n">
        <v>54084149</v>
      </c>
      <c r="O5" s="6" t="n">
        <v>54370469</v>
      </c>
    </row>
    <row r="6">
      <c r="A6" s="5" t="inlineStr">
        <is>
          <t>Claro</t>
        </is>
      </c>
      <c r="B6" s="2" t="inlineStr">
        <is>
          <t>TELECOM AMERICAS</t>
        </is>
      </c>
      <c r="C6" s="6" t="n">
        <v>40829440</v>
      </c>
      <c r="D6" s="6" t="n">
        <v>41241477</v>
      </c>
      <c r="E6" s="6" t="n">
        <v>41507765</v>
      </c>
      <c r="F6" s="6" t="n">
        <v>41771124</v>
      </c>
      <c r="G6" s="6" t="n">
        <v>42167744</v>
      </c>
      <c r="H6" s="6" t="n">
        <v>42513403</v>
      </c>
      <c r="I6" s="6" t="n">
        <v>42902520</v>
      </c>
      <c r="J6" s="6" t="n">
        <v>43080402</v>
      </c>
      <c r="K6" s="6" t="n">
        <v>43468378</v>
      </c>
      <c r="L6" s="6" t="n">
        <v>43749109</v>
      </c>
      <c r="M6" s="6" t="n">
        <v>43887674</v>
      </c>
      <c r="N6" s="6" t="n">
        <v>44307767</v>
      </c>
      <c r="O6" s="6" t="n">
        <v>44711491</v>
      </c>
    </row>
    <row r="7">
      <c r="A7" s="5" t="inlineStr">
        <is>
          <t>TIM</t>
        </is>
      </c>
      <c r="B7" s="2" t="inlineStr">
        <is>
          <t>TELECOM ITALIA</t>
        </is>
      </c>
      <c r="C7" s="6" t="n">
        <v>25378092</v>
      </c>
      <c r="D7" s="6" t="n">
        <v>25480227</v>
      </c>
      <c r="E7" s="6" t="n">
        <v>25620502</v>
      </c>
      <c r="F7" s="6" t="n">
        <v>25693714</v>
      </c>
      <c r="G7" s="6" t="n">
        <v>25726533</v>
      </c>
      <c r="H7" s="6" t="n">
        <v>25794782</v>
      </c>
      <c r="I7" s="6" t="n">
        <v>25881363</v>
      </c>
      <c r="J7" s="6" t="n">
        <v>25991985</v>
      </c>
      <c r="K7" s="6" t="n">
        <v>26085499</v>
      </c>
      <c r="L7" s="6" t="n">
        <v>26128352</v>
      </c>
      <c r="M7" s="6" t="n">
        <v>26253124</v>
      </c>
      <c r="N7" s="6" t="n">
        <v>26336300</v>
      </c>
      <c r="O7" s="6" t="n">
        <v>26420150</v>
      </c>
    </row>
    <row r="8">
      <c r="A8" s="5" t="inlineStr">
        <is>
          <t>Brisanet</t>
        </is>
      </c>
      <c r="B8" s="2" t="inlineStr">
        <is>
          <t>BRISANET</t>
        </is>
      </c>
      <c r="C8" s="6" t="n">
        <v>700710</v>
      </c>
      <c r="D8" s="6" t="n">
        <v>762137</v>
      </c>
      <c r="E8" s="6" t="n">
        <v>813654</v>
      </c>
      <c r="F8" s="6" t="n">
        <v>852265</v>
      </c>
      <c r="G8" s="6" t="n">
        <v>882993</v>
      </c>
      <c r="H8" s="6" t="n">
        <v>913745</v>
      </c>
      <c r="I8" s="6" t="n">
        <v>953547</v>
      </c>
      <c r="J8" s="6" t="n">
        <v>990238</v>
      </c>
      <c r="K8" s="6" t="n">
        <v>1029443</v>
      </c>
      <c r="L8" s="6" t="n">
        <v>1069958</v>
      </c>
      <c r="M8" s="6" t="n">
        <v>1108614</v>
      </c>
      <c r="N8" s="6" t="n">
        <v>1144880</v>
      </c>
      <c r="O8" s="6" t="n">
        <v>1179131</v>
      </c>
    </row>
    <row r="9">
      <c r="A9" s="5" t="inlineStr">
        <is>
          <t>Surf Telecom</t>
        </is>
      </c>
      <c r="B9" s="2" t="inlineStr">
        <is>
          <t>SURF TELECOM</t>
        </is>
      </c>
      <c r="C9" s="6" t="n">
        <v>627991</v>
      </c>
      <c r="D9" s="6" t="n">
        <v>667349</v>
      </c>
      <c r="E9" s="6" t="n">
        <v>726101</v>
      </c>
      <c r="F9" s="6" t="n">
        <v>746678</v>
      </c>
      <c r="G9" s="6" t="n">
        <v>776750</v>
      </c>
      <c r="H9" s="6" t="n">
        <v>806883</v>
      </c>
      <c r="I9" s="6" t="n">
        <v>831292</v>
      </c>
      <c r="J9" s="6" t="n">
        <v>868778</v>
      </c>
      <c r="K9" s="6" t="n">
        <v>919798</v>
      </c>
      <c r="L9" s="6" t="n">
        <v>970957</v>
      </c>
      <c r="M9" s="6" t="n">
        <v>1016681</v>
      </c>
      <c r="N9" s="6" t="n">
        <v>1033382</v>
      </c>
      <c r="O9" s="6" t="n">
        <v>1041862</v>
      </c>
    </row>
    <row r="10">
      <c r="A10" s="5" t="inlineStr">
        <is>
          <t>Algar</t>
        </is>
      </c>
      <c r="B10" s="2" t="inlineStr">
        <is>
          <t>ALGAR (CTBC TELECOM)</t>
        </is>
      </c>
      <c r="C10" s="6" t="n">
        <v>659664</v>
      </c>
      <c r="D10" s="6" t="n">
        <v>659138</v>
      </c>
      <c r="E10" s="6" t="n">
        <v>659184</v>
      </c>
      <c r="F10" s="6" t="n">
        <v>661683</v>
      </c>
      <c r="G10" s="6" t="n">
        <v>659378</v>
      </c>
      <c r="H10" s="6" t="n">
        <v>657001</v>
      </c>
      <c r="I10" s="6" t="n">
        <v>656276</v>
      </c>
      <c r="J10" s="6" t="n">
        <v>653643</v>
      </c>
      <c r="K10" s="6" t="n">
        <v>652378</v>
      </c>
      <c r="L10" s="6" t="n">
        <v>652061</v>
      </c>
      <c r="M10" s="6" t="n">
        <v>653625</v>
      </c>
      <c r="N10" s="6" t="n">
        <v>655972</v>
      </c>
      <c r="O10" s="6" t="n">
        <v>659361</v>
      </c>
    </row>
    <row r="11">
      <c r="A11" s="5" t="inlineStr">
        <is>
          <t>Vero</t>
        </is>
      </c>
      <c r="B11" s="2" t="inlineStr">
        <is>
          <t>VERO</t>
        </is>
      </c>
      <c r="C11" s="6" t="n">
        <v>268448</v>
      </c>
      <c r="D11" s="6" t="n">
        <v>280361</v>
      </c>
      <c r="E11" s="6" t="n">
        <v>296086</v>
      </c>
      <c r="F11" s="6" t="n">
        <v>302251</v>
      </c>
      <c r="G11" s="6" t="n">
        <v>312406</v>
      </c>
      <c r="H11" s="6" t="n">
        <v>324335</v>
      </c>
      <c r="I11" s="6" t="n">
        <v>336032</v>
      </c>
      <c r="J11" s="6" t="n">
        <v>346380</v>
      </c>
      <c r="K11" s="6" t="n">
        <v>354970</v>
      </c>
      <c r="L11" s="6" t="n">
        <v>367298</v>
      </c>
      <c r="M11" s="6" t="n">
        <v>384155</v>
      </c>
      <c r="N11" s="6" t="n">
        <v>397708</v>
      </c>
      <c r="O11" s="6" t="n">
        <v>419734</v>
      </c>
    </row>
    <row r="12">
      <c r="A12" s="5" t="inlineStr">
        <is>
          <t>Unifique</t>
        </is>
      </c>
      <c r="B12" s="2" t="inlineStr">
        <is>
          <t>UNIFIQUE</t>
        </is>
      </c>
      <c r="C12" s="6" t="n">
        <v>193036</v>
      </c>
      <c r="D12" s="6" t="n">
        <v>206951</v>
      </c>
      <c r="E12" s="6" t="n">
        <v>219126</v>
      </c>
      <c r="F12" s="6" t="n">
        <v>228478</v>
      </c>
      <c r="G12" s="6" t="n">
        <v>241836</v>
      </c>
      <c r="H12" s="6" t="n">
        <v>253460</v>
      </c>
      <c r="I12" s="6" t="n">
        <v>268196</v>
      </c>
      <c r="J12" s="6" t="n">
        <v>281729</v>
      </c>
      <c r="K12" s="6" t="n">
        <v>294933</v>
      </c>
      <c r="L12" s="6" t="n">
        <v>310132</v>
      </c>
      <c r="M12" s="6" t="n">
        <v>325402</v>
      </c>
      <c r="N12" s="6" t="n">
        <v>340126</v>
      </c>
      <c r="O12" s="6" t="n">
        <v>354090</v>
      </c>
    </row>
    <row r="13">
      <c r="A13" s="5" t="inlineStr">
        <is>
          <t>Outros</t>
        </is>
      </c>
      <c r="B13" s="2" t="inlineStr">
        <is>
          <t>OUTROS</t>
        </is>
      </c>
      <c r="C13" s="6" t="n">
        <v>96927</v>
      </c>
      <c r="D13" s="6" t="n">
        <v>100921</v>
      </c>
      <c r="E13" s="6" t="n">
        <v>103871</v>
      </c>
      <c r="F13" s="6" t="n">
        <v>106954</v>
      </c>
      <c r="G13" s="6" t="n">
        <v>111021</v>
      </c>
      <c r="H13" s="6" t="n">
        <v>114761</v>
      </c>
      <c r="I13" s="6" t="n">
        <v>121112</v>
      </c>
      <c r="J13" s="6" t="n">
        <v>126329</v>
      </c>
      <c r="K13" s="6" t="n">
        <v>130969</v>
      </c>
      <c r="L13" s="6" t="n">
        <v>133448</v>
      </c>
      <c r="M13" s="6" t="n">
        <v>137481</v>
      </c>
      <c r="N13" s="6" t="n">
        <v>141496</v>
      </c>
      <c r="O13" s="6" t="n">
        <v>143384</v>
      </c>
    </row>
    <row r="14">
      <c r="A14" s="5" t="inlineStr">
        <is>
          <t>Datora</t>
        </is>
      </c>
      <c r="B14" s="2" t="inlineStr">
        <is>
          <t>DATORA</t>
        </is>
      </c>
      <c r="C14" s="6" t="n">
        <v>51941</v>
      </c>
      <c r="D14" s="6" t="n">
        <v>52248</v>
      </c>
      <c r="E14" s="6" t="n">
        <v>52937</v>
      </c>
      <c r="F14" s="6" t="n">
        <v>53505</v>
      </c>
      <c r="G14" s="6" t="n">
        <v>54026</v>
      </c>
      <c r="H14" s="6" t="n">
        <v>54646</v>
      </c>
      <c r="I14" s="6" t="n">
        <v>55714</v>
      </c>
      <c r="J14" s="6" t="n">
        <v>56692</v>
      </c>
      <c r="K14" s="6" t="n">
        <v>57787</v>
      </c>
      <c r="L14" s="6" t="n">
        <v>58292</v>
      </c>
      <c r="M14" s="6" t="n">
        <v>60136</v>
      </c>
      <c r="N14" s="6" t="n">
        <v>104357</v>
      </c>
      <c r="O14" s="6" t="n">
        <v>106938</v>
      </c>
    </row>
    <row r="15">
      <c r="A15" s="5" t="inlineStr">
        <is>
          <t>Demais grupos</t>
        </is>
      </c>
      <c r="B15" s="2" t="inlineStr">
        <is>
          <t>DEMAIS GRUPOS</t>
        </is>
      </c>
      <c r="C15" s="6" t="n">
        <v>7934</v>
      </c>
      <c r="D15" s="6" t="n">
        <v>7842</v>
      </c>
      <c r="E15" s="6" t="n">
        <v>7733</v>
      </c>
      <c r="F15" s="6" t="n">
        <v>7629</v>
      </c>
      <c r="G15" s="6" t="n">
        <v>2233</v>
      </c>
      <c r="H15" s="6" t="n">
        <v>2434</v>
      </c>
      <c r="I15" s="6" t="n">
        <v>2418</v>
      </c>
      <c r="J15" s="6" t="n">
        <v>2406</v>
      </c>
      <c r="K15" s="6" t="n">
        <v>2324</v>
      </c>
      <c r="L15" s="6" t="n">
        <v>2280</v>
      </c>
      <c r="M15" s="6" t="n">
        <v>2153</v>
      </c>
      <c r="N15" s="6" t="n">
        <v>2139</v>
      </c>
      <c r="O15" s="6" t="n">
        <v>2127</v>
      </c>
    </row>
    <row r="16">
      <c r="A16" s="7" t="inlineStr">
        <is>
          <t>Total</t>
        </is>
      </c>
      <c r="C16" s="8">
        <f>SUM(C5:C15)</f>
        <v/>
      </c>
      <c r="D16" s="8">
        <f>SUM(D5:D15)</f>
        <v/>
      </c>
      <c r="E16" s="8">
        <f>SUM(E5:E15)</f>
        <v/>
      </c>
      <c r="F16" s="8">
        <f>SUM(F5:F15)</f>
        <v/>
      </c>
      <c r="G16" s="8">
        <f>SUM(G5:G15)</f>
        <v/>
      </c>
      <c r="H16" s="8">
        <f>SUM(H5:H15)</f>
        <v/>
      </c>
      <c r="I16" s="8">
        <f>SUM(I5:I15)</f>
        <v/>
      </c>
      <c r="J16" s="8">
        <f>SUM(J5:J15)</f>
        <v/>
      </c>
      <c r="K16" s="8">
        <f>SUM(K5:K15)</f>
        <v/>
      </c>
      <c r="L16" s="8">
        <f>SUM(L5:L15)</f>
        <v/>
      </c>
      <c r="M16" s="8">
        <f>SUM(M5:M15)</f>
        <v/>
      </c>
      <c r="N16" s="8">
        <f>SUM(N5:N15)</f>
        <v/>
      </c>
      <c r="O16" s="8">
        <f>SUM(O5:O15)</f>
        <v/>
      </c>
    </row>
    <row r="18">
      <c r="A18" s="3" t="inlineStr">
        <is>
          <t>Market share</t>
        </is>
      </c>
      <c r="B18" s="3" t="inlineStr">
        <is>
          <t>Grupo (rótulo Anatel)</t>
        </is>
      </c>
      <c r="C18" s="4" t="inlineStr">
        <is>
          <t>09/25</t>
        </is>
      </c>
      <c r="D18" s="4" t="inlineStr">
        <is>
          <t>10/25</t>
        </is>
      </c>
      <c r="E18" s="4" t="inlineStr">
        <is>
          <t>11/25</t>
        </is>
      </c>
      <c r="F18" s="4" t="inlineStr">
        <is>
          <t>12/25</t>
        </is>
      </c>
      <c r="G18" s="4" t="inlineStr">
        <is>
          <t>01/26</t>
        </is>
      </c>
      <c r="H18" s="4" t="inlineStr">
        <is>
          <t>02/26</t>
        </is>
      </c>
      <c r="I18" s="4" t="inlineStr">
        <is>
          <t>03/26</t>
        </is>
      </c>
      <c r="J18" s="4" t="inlineStr">
        <is>
          <t>04/26</t>
        </is>
      </c>
      <c r="K18" s="4" t="inlineStr">
        <is>
          <t>05/26</t>
        </is>
      </c>
      <c r="L18" s="4" t="inlineStr">
        <is>
          <t>06/26</t>
        </is>
      </c>
      <c r="M18" s="4" t="inlineStr">
        <is>
          <t>07/26</t>
        </is>
      </c>
      <c r="N18" s="4" t="inlineStr">
        <is>
          <t>08/26</t>
        </is>
      </c>
      <c r="O18" s="4" t="inlineStr">
        <is>
          <t>09/26</t>
        </is>
      </c>
    </row>
    <row r="19">
      <c r="A19" s="5">
        <f>A5</f>
        <v/>
      </c>
      <c r="B19" s="2">
        <f>B5</f>
        <v/>
      </c>
      <c r="C19" s="9">
        <f>IF(C$16=0,0,C5/C$16)</f>
        <v/>
      </c>
      <c r="D19" s="9">
        <f>IF(D$16=0,0,D5/D$16)</f>
        <v/>
      </c>
      <c r="E19" s="9">
        <f>IF(E$16=0,0,E5/E$16)</f>
        <v/>
      </c>
      <c r="F19" s="9">
        <f>IF(F$16=0,0,F5/F$16)</f>
        <v/>
      </c>
      <c r="G19" s="9">
        <f>IF(G$16=0,0,G5/G$16)</f>
        <v/>
      </c>
      <c r="H19" s="9">
        <f>IF(H$16=0,0,H5/H$16)</f>
        <v/>
      </c>
      <c r="I19" s="9">
        <f>IF(I$16=0,0,I5/I$16)</f>
        <v/>
      </c>
      <c r="J19" s="9">
        <f>IF(J$16=0,0,J5/J$16)</f>
        <v/>
      </c>
      <c r="K19" s="9">
        <f>IF(K$16=0,0,K5/K$16)</f>
        <v/>
      </c>
      <c r="L19" s="9">
        <f>IF(L$16=0,0,L5/L$16)</f>
        <v/>
      </c>
      <c r="M19" s="9">
        <f>IF(M$16=0,0,M5/M$16)</f>
        <v/>
      </c>
      <c r="N19" s="9">
        <f>IF(N$16=0,0,N5/N$16)</f>
        <v/>
      </c>
      <c r="O19" s="9">
        <f>IF(O$16=0,0,O5/O$16)</f>
        <v/>
      </c>
    </row>
    <row r="20">
      <c r="A20" s="5">
        <f>A6</f>
        <v/>
      </c>
      <c r="B20" s="2">
        <f>B6</f>
        <v/>
      </c>
      <c r="C20" s="9">
        <f>IF(C$16=0,0,C6/C$16)</f>
        <v/>
      </c>
      <c r="D20" s="9">
        <f>IF(D$16=0,0,D6/D$16)</f>
        <v/>
      </c>
      <c r="E20" s="9">
        <f>IF(E$16=0,0,E6/E$16)</f>
        <v/>
      </c>
      <c r="F20" s="9">
        <f>IF(F$16=0,0,F6/F$16)</f>
        <v/>
      </c>
      <c r="G20" s="9">
        <f>IF(G$16=0,0,G6/G$16)</f>
        <v/>
      </c>
      <c r="H20" s="9">
        <f>IF(H$16=0,0,H6/H$16)</f>
        <v/>
      </c>
      <c r="I20" s="9">
        <f>IF(I$16=0,0,I6/I$16)</f>
        <v/>
      </c>
      <c r="J20" s="9">
        <f>IF(J$16=0,0,J6/J$16)</f>
        <v/>
      </c>
      <c r="K20" s="9">
        <f>IF(K$16=0,0,K6/K$16)</f>
        <v/>
      </c>
      <c r="L20" s="9">
        <f>IF(L$16=0,0,L6/L$16)</f>
        <v/>
      </c>
      <c r="M20" s="9">
        <f>IF(M$16=0,0,M6/M$16)</f>
        <v/>
      </c>
      <c r="N20" s="9">
        <f>IF(N$16=0,0,N6/N$16)</f>
        <v/>
      </c>
      <c r="O20" s="9">
        <f>IF(O$16=0,0,O6/O$16)</f>
        <v/>
      </c>
    </row>
    <row r="21">
      <c r="A21" s="5">
        <f>A7</f>
        <v/>
      </c>
      <c r="B21" s="2">
        <f>B7</f>
        <v/>
      </c>
      <c r="C21" s="9">
        <f>IF(C$16=0,0,C7/C$16)</f>
        <v/>
      </c>
      <c r="D21" s="9">
        <f>IF(D$16=0,0,D7/D$16)</f>
        <v/>
      </c>
      <c r="E21" s="9">
        <f>IF(E$16=0,0,E7/E$16)</f>
        <v/>
      </c>
      <c r="F21" s="9">
        <f>IF(F$16=0,0,F7/F$16)</f>
        <v/>
      </c>
      <c r="G21" s="9">
        <f>IF(G$16=0,0,G7/G$16)</f>
        <v/>
      </c>
      <c r="H21" s="9">
        <f>IF(H$16=0,0,H7/H$16)</f>
        <v/>
      </c>
      <c r="I21" s="9">
        <f>IF(I$16=0,0,I7/I$16)</f>
        <v/>
      </c>
      <c r="J21" s="9">
        <f>IF(J$16=0,0,J7/J$16)</f>
        <v/>
      </c>
      <c r="K21" s="9">
        <f>IF(K$16=0,0,K7/K$16)</f>
        <v/>
      </c>
      <c r="L21" s="9">
        <f>IF(L$16=0,0,L7/L$16)</f>
        <v/>
      </c>
      <c r="M21" s="9">
        <f>IF(M$16=0,0,M7/M$16)</f>
        <v/>
      </c>
      <c r="N21" s="9">
        <f>IF(N$16=0,0,N7/N$16)</f>
        <v/>
      </c>
      <c r="O21" s="9">
        <f>IF(O$16=0,0,O7/O$16)</f>
        <v/>
      </c>
    </row>
    <row r="22">
      <c r="A22" s="5">
        <f>A8</f>
        <v/>
      </c>
      <c r="B22" s="2">
        <f>B8</f>
        <v/>
      </c>
      <c r="C22" s="9">
        <f>IF(C$16=0,0,C8/C$16)</f>
        <v/>
      </c>
      <c r="D22" s="9">
        <f>IF(D$16=0,0,D8/D$16)</f>
        <v/>
      </c>
      <c r="E22" s="9">
        <f>IF(E$16=0,0,E8/E$16)</f>
        <v/>
      </c>
      <c r="F22" s="9">
        <f>IF(F$16=0,0,F8/F$16)</f>
        <v/>
      </c>
      <c r="G22" s="9">
        <f>IF(G$16=0,0,G8/G$16)</f>
        <v/>
      </c>
      <c r="H22" s="9">
        <f>IF(H$16=0,0,H8/H$16)</f>
        <v/>
      </c>
      <c r="I22" s="9">
        <f>IF(I$16=0,0,I8/I$16)</f>
        <v/>
      </c>
      <c r="J22" s="9">
        <f>IF(J$16=0,0,J8/J$16)</f>
        <v/>
      </c>
      <c r="K22" s="9">
        <f>IF(K$16=0,0,K8/K$16)</f>
        <v/>
      </c>
      <c r="L22" s="9">
        <f>IF(L$16=0,0,L8/L$16)</f>
        <v/>
      </c>
      <c r="M22" s="9">
        <f>IF(M$16=0,0,M8/M$16)</f>
        <v/>
      </c>
      <c r="N22" s="9">
        <f>IF(N$16=0,0,N8/N$16)</f>
        <v/>
      </c>
      <c r="O22" s="9">
        <f>IF(O$16=0,0,O8/O$16)</f>
        <v/>
      </c>
    </row>
    <row r="23">
      <c r="A23" s="5">
        <f>A9</f>
        <v/>
      </c>
      <c r="B23" s="2">
        <f>B9</f>
        <v/>
      </c>
      <c r="C23" s="9">
        <f>IF(C$16=0,0,C9/C$16)</f>
        <v/>
      </c>
      <c r="D23" s="9">
        <f>IF(D$16=0,0,D9/D$16)</f>
        <v/>
      </c>
      <c r="E23" s="9">
        <f>IF(E$16=0,0,E9/E$16)</f>
        <v/>
      </c>
      <c r="F23" s="9">
        <f>IF(F$16=0,0,F9/F$16)</f>
        <v/>
      </c>
      <c r="G23" s="9">
        <f>IF(G$16=0,0,G9/G$16)</f>
        <v/>
      </c>
      <c r="H23" s="9">
        <f>IF(H$16=0,0,H9/H$16)</f>
        <v/>
      </c>
      <c r="I23" s="9">
        <f>IF(I$16=0,0,I9/I$16)</f>
        <v/>
      </c>
      <c r="J23" s="9">
        <f>IF(J$16=0,0,J9/J$16)</f>
        <v/>
      </c>
      <c r="K23" s="9">
        <f>IF(K$16=0,0,K9/K$16)</f>
        <v/>
      </c>
      <c r="L23" s="9">
        <f>IF(L$16=0,0,L9/L$16)</f>
        <v/>
      </c>
      <c r="M23" s="9">
        <f>IF(M$16=0,0,M9/M$16)</f>
        <v/>
      </c>
      <c r="N23" s="9">
        <f>IF(N$16=0,0,N9/N$16)</f>
        <v/>
      </c>
      <c r="O23" s="9">
        <f>IF(O$16=0,0,O9/O$16)</f>
        <v/>
      </c>
    </row>
    <row r="24">
      <c r="A24" s="5">
        <f>A10</f>
        <v/>
      </c>
      <c r="B24" s="2">
        <f>B10</f>
        <v/>
      </c>
      <c r="C24" s="9">
        <f>IF(C$16=0,0,C10/C$16)</f>
        <v/>
      </c>
      <c r="D24" s="9">
        <f>IF(D$16=0,0,D10/D$16)</f>
        <v/>
      </c>
      <c r="E24" s="9">
        <f>IF(E$16=0,0,E10/E$16)</f>
        <v/>
      </c>
      <c r="F24" s="9">
        <f>IF(F$16=0,0,F10/F$16)</f>
        <v/>
      </c>
      <c r="G24" s="9">
        <f>IF(G$16=0,0,G10/G$16)</f>
        <v/>
      </c>
      <c r="H24" s="9">
        <f>IF(H$16=0,0,H10/H$16)</f>
        <v/>
      </c>
      <c r="I24" s="9">
        <f>IF(I$16=0,0,I10/I$16)</f>
        <v/>
      </c>
      <c r="J24" s="9">
        <f>IF(J$16=0,0,J10/J$16)</f>
        <v/>
      </c>
      <c r="K24" s="9">
        <f>IF(K$16=0,0,K10/K$16)</f>
        <v/>
      </c>
      <c r="L24" s="9">
        <f>IF(L$16=0,0,L10/L$16)</f>
        <v/>
      </c>
      <c r="M24" s="9">
        <f>IF(M$16=0,0,M10/M$16)</f>
        <v/>
      </c>
      <c r="N24" s="9">
        <f>IF(N$16=0,0,N10/N$16)</f>
        <v/>
      </c>
      <c r="O24" s="9">
        <f>IF(O$16=0,0,O10/O$16)</f>
        <v/>
      </c>
    </row>
    <row r="25">
      <c r="A25" s="5">
        <f>A11</f>
        <v/>
      </c>
      <c r="B25" s="2">
        <f>B11</f>
        <v/>
      </c>
      <c r="C25" s="9">
        <f>IF(C$16=0,0,C11/C$16)</f>
        <v/>
      </c>
      <c r="D25" s="9">
        <f>IF(D$16=0,0,D11/D$16)</f>
        <v/>
      </c>
      <c r="E25" s="9">
        <f>IF(E$16=0,0,E11/E$16)</f>
        <v/>
      </c>
      <c r="F25" s="9">
        <f>IF(F$16=0,0,F11/F$16)</f>
        <v/>
      </c>
      <c r="G25" s="9">
        <f>IF(G$16=0,0,G11/G$16)</f>
        <v/>
      </c>
      <c r="H25" s="9">
        <f>IF(H$16=0,0,H11/H$16)</f>
        <v/>
      </c>
      <c r="I25" s="9">
        <f>IF(I$16=0,0,I11/I$16)</f>
        <v/>
      </c>
      <c r="J25" s="9">
        <f>IF(J$16=0,0,J11/J$16)</f>
        <v/>
      </c>
      <c r="K25" s="9">
        <f>IF(K$16=0,0,K11/K$16)</f>
        <v/>
      </c>
      <c r="L25" s="9">
        <f>IF(L$16=0,0,L11/L$16)</f>
        <v/>
      </c>
      <c r="M25" s="9">
        <f>IF(M$16=0,0,M11/M$16)</f>
        <v/>
      </c>
      <c r="N25" s="9">
        <f>IF(N$16=0,0,N11/N$16)</f>
        <v/>
      </c>
      <c r="O25" s="9">
        <f>IF(O$16=0,0,O11/O$16)</f>
        <v/>
      </c>
    </row>
    <row r="26">
      <c r="A26" s="5">
        <f>A12</f>
        <v/>
      </c>
      <c r="B26" s="2">
        <f>B12</f>
        <v/>
      </c>
      <c r="C26" s="9">
        <f>IF(C$16=0,0,C12/C$16)</f>
        <v/>
      </c>
      <c r="D26" s="9">
        <f>IF(D$16=0,0,D12/D$16)</f>
        <v/>
      </c>
      <c r="E26" s="9">
        <f>IF(E$16=0,0,E12/E$16)</f>
        <v/>
      </c>
      <c r="F26" s="9">
        <f>IF(F$16=0,0,F12/F$16)</f>
        <v/>
      </c>
      <c r="G26" s="9">
        <f>IF(G$16=0,0,G12/G$16)</f>
        <v/>
      </c>
      <c r="H26" s="9">
        <f>IF(H$16=0,0,H12/H$16)</f>
        <v/>
      </c>
      <c r="I26" s="9">
        <f>IF(I$16=0,0,I12/I$16)</f>
        <v/>
      </c>
      <c r="J26" s="9">
        <f>IF(J$16=0,0,J12/J$16)</f>
        <v/>
      </c>
      <c r="K26" s="9">
        <f>IF(K$16=0,0,K12/K$16)</f>
        <v/>
      </c>
      <c r="L26" s="9">
        <f>IF(L$16=0,0,L12/L$16)</f>
        <v/>
      </c>
      <c r="M26" s="9">
        <f>IF(M$16=0,0,M12/M$16)</f>
        <v/>
      </c>
      <c r="N26" s="9">
        <f>IF(N$16=0,0,N12/N$16)</f>
        <v/>
      </c>
      <c r="O26" s="9">
        <f>IF(O$16=0,0,O12/O$16)</f>
        <v/>
      </c>
    </row>
    <row r="27">
      <c r="A27" s="5">
        <f>A13</f>
        <v/>
      </c>
      <c r="B27" s="2">
        <f>B13</f>
        <v/>
      </c>
      <c r="C27" s="9">
        <f>IF(C$16=0,0,C13/C$16)</f>
        <v/>
      </c>
      <c r="D27" s="9">
        <f>IF(D$16=0,0,D13/D$16)</f>
        <v/>
      </c>
      <c r="E27" s="9">
        <f>IF(E$16=0,0,E13/E$16)</f>
        <v/>
      </c>
      <c r="F27" s="9">
        <f>IF(F$16=0,0,F13/F$16)</f>
        <v/>
      </c>
      <c r="G27" s="9">
        <f>IF(G$16=0,0,G13/G$16)</f>
        <v/>
      </c>
      <c r="H27" s="9">
        <f>IF(H$16=0,0,H13/H$16)</f>
        <v/>
      </c>
      <c r="I27" s="9">
        <f>IF(I$16=0,0,I13/I$16)</f>
        <v/>
      </c>
      <c r="J27" s="9">
        <f>IF(J$16=0,0,J13/J$16)</f>
        <v/>
      </c>
      <c r="K27" s="9">
        <f>IF(K$16=0,0,K13/K$16)</f>
        <v/>
      </c>
      <c r="L27" s="9">
        <f>IF(L$16=0,0,L13/L$16)</f>
        <v/>
      </c>
      <c r="M27" s="9">
        <f>IF(M$16=0,0,M13/M$16)</f>
        <v/>
      </c>
      <c r="N27" s="9">
        <f>IF(N$16=0,0,N13/N$16)</f>
        <v/>
      </c>
      <c r="O27" s="9">
        <f>IF(O$16=0,0,O13/O$16)</f>
        <v/>
      </c>
    </row>
    <row r="28">
      <c r="A28" s="5">
        <f>A14</f>
        <v/>
      </c>
      <c r="B28" s="2">
        <f>B14</f>
        <v/>
      </c>
      <c r="C28" s="9">
        <f>IF(C$16=0,0,C14/C$16)</f>
        <v/>
      </c>
      <c r="D28" s="9">
        <f>IF(D$16=0,0,D14/D$16)</f>
        <v/>
      </c>
      <c r="E28" s="9">
        <f>IF(E$16=0,0,E14/E$16)</f>
        <v/>
      </c>
      <c r="F28" s="9">
        <f>IF(F$16=0,0,F14/F$16)</f>
        <v/>
      </c>
      <c r="G28" s="9">
        <f>IF(G$16=0,0,G14/G$16)</f>
        <v/>
      </c>
      <c r="H28" s="9">
        <f>IF(H$16=0,0,H14/H$16)</f>
        <v/>
      </c>
      <c r="I28" s="9">
        <f>IF(I$16=0,0,I14/I$16)</f>
        <v/>
      </c>
      <c r="J28" s="9">
        <f>IF(J$16=0,0,J14/J$16)</f>
        <v/>
      </c>
      <c r="K28" s="9">
        <f>IF(K$16=0,0,K14/K$16)</f>
        <v/>
      </c>
      <c r="L28" s="9">
        <f>IF(L$16=0,0,L14/L$16)</f>
        <v/>
      </c>
      <c r="M28" s="9">
        <f>IF(M$16=0,0,M14/M$16)</f>
        <v/>
      </c>
      <c r="N28" s="9">
        <f>IF(N$16=0,0,N14/N$16)</f>
        <v/>
      </c>
      <c r="O28" s="9">
        <f>IF(O$16=0,0,O14/O$16)</f>
        <v/>
      </c>
    </row>
    <row r="29">
      <c r="A29" s="5">
        <f>A15</f>
        <v/>
      </c>
      <c r="B29" s="2">
        <f>B15</f>
        <v/>
      </c>
      <c r="C29" s="9">
        <f>IF(C$16=0,0,C15/C$16)</f>
        <v/>
      </c>
      <c r="D29" s="9">
        <f>IF(D$16=0,0,D15/D$16)</f>
        <v/>
      </c>
      <c r="E29" s="9">
        <f>IF(E$16=0,0,E15/E$16)</f>
        <v/>
      </c>
      <c r="F29" s="9">
        <f>IF(F$16=0,0,F15/F$16)</f>
        <v/>
      </c>
      <c r="G29" s="9">
        <f>IF(G$16=0,0,G15/G$16)</f>
        <v/>
      </c>
      <c r="H29" s="9">
        <f>IF(H$16=0,0,H15/H$16)</f>
        <v/>
      </c>
      <c r="I29" s="9">
        <f>IF(I$16=0,0,I15/I$16)</f>
        <v/>
      </c>
      <c r="J29" s="9">
        <f>IF(J$16=0,0,J15/J$16)</f>
        <v/>
      </c>
      <c r="K29" s="9">
        <f>IF(K$16=0,0,K15/K$16)</f>
        <v/>
      </c>
      <c r="L29" s="9">
        <f>IF(L$16=0,0,L15/L$16)</f>
        <v/>
      </c>
      <c r="M29" s="9">
        <f>IF(M$16=0,0,M15/M$16)</f>
        <v/>
      </c>
      <c r="N29" s="9">
        <f>IF(N$16=0,0,N15/N$16)</f>
        <v/>
      </c>
      <c r="O29" s="9">
        <f>IF(O$16=0,0,O15/O$16)</f>
        <v/>
      </c>
    </row>
    <row r="30">
      <c r="A30" s="7">
        <f>A16</f>
        <v/>
      </c>
      <c r="C30" s="10">
        <f>IF(C$16=0,0,C16/C$16)</f>
        <v/>
      </c>
      <c r="D30" s="10">
        <f>IF(D$16=0,0,D16/D$16)</f>
        <v/>
      </c>
      <c r="E30" s="10">
        <f>IF(E$16=0,0,E16/E$16)</f>
        <v/>
      </c>
      <c r="F30" s="10">
        <f>IF(F$16=0,0,F16/F$16)</f>
        <v/>
      </c>
      <c r="G30" s="10">
        <f>IF(G$16=0,0,G16/G$16)</f>
        <v/>
      </c>
      <c r="H30" s="10">
        <f>IF(H$16=0,0,H16/H$16)</f>
        <v/>
      </c>
      <c r="I30" s="10">
        <f>IF(I$16=0,0,I16/I$16)</f>
        <v/>
      </c>
      <c r="J30" s="10">
        <f>IF(J$16=0,0,J16/J$16)</f>
        <v/>
      </c>
      <c r="K30" s="10">
        <f>IF(K$16=0,0,K16/K$16)</f>
        <v/>
      </c>
      <c r="L30" s="10">
        <f>IF(L$16=0,0,L16/L$16)</f>
        <v/>
      </c>
      <c r="M30" s="10">
        <f>IF(M$16=0,0,M16/M$16)</f>
        <v/>
      </c>
      <c r="N30" s="10">
        <f>IF(N$16=0,0,N16/N$16)</f>
        <v/>
      </c>
      <c r="O30" s="10">
        <f>IF(O$16=0,0,O16/O$16)</f>
        <v/>
      </c>
    </row>
    <row r="32">
      <c r="A32" s="3" t="inlineStr">
        <is>
          <t>Adições líquidas (m/m)</t>
        </is>
      </c>
      <c r="B32" s="3" t="inlineStr">
        <is>
          <t>Grupo (rótulo Anatel)</t>
        </is>
      </c>
      <c r="C32" s="4" t="inlineStr">
        <is>
          <t>09/25</t>
        </is>
      </c>
      <c r="D32" s="4" t="inlineStr">
        <is>
          <t>10/25</t>
        </is>
      </c>
      <c r="E32" s="4" t="inlineStr">
        <is>
          <t>11/25</t>
        </is>
      </c>
      <c r="F32" s="4" t="inlineStr">
        <is>
          <t>12/25</t>
        </is>
      </c>
      <c r="G32" s="4" t="inlineStr">
        <is>
          <t>01/26</t>
        </is>
      </c>
      <c r="H32" s="4" t="inlineStr">
        <is>
          <t>02/26</t>
        </is>
      </c>
      <c r="I32" s="4" t="inlineStr">
        <is>
          <t>03/26</t>
        </is>
      </c>
      <c r="J32" s="4" t="inlineStr">
        <is>
          <t>04/26</t>
        </is>
      </c>
      <c r="K32" s="4" t="inlineStr">
        <is>
          <t>05/26</t>
        </is>
      </c>
      <c r="L32" s="4" t="inlineStr">
        <is>
          <t>06/26</t>
        </is>
      </c>
      <c r="M32" s="4" t="inlineStr">
        <is>
          <t>07/26</t>
        </is>
      </c>
      <c r="N32" s="4" t="inlineStr">
        <is>
          <t>08/26</t>
        </is>
      </c>
      <c r="O32" s="4" t="inlineStr">
        <is>
          <t>09/26</t>
        </is>
      </c>
    </row>
    <row r="33">
      <c r="A33" s="5">
        <f>A5</f>
        <v/>
      </c>
      <c r="B33" s="2">
        <f>B5</f>
        <v/>
      </c>
      <c r="D33" s="11">
        <f>D5-C5</f>
        <v/>
      </c>
      <c r="E33" s="11">
        <f>E5-D5</f>
        <v/>
      </c>
      <c r="F33" s="11">
        <f>F5-E5</f>
        <v/>
      </c>
      <c r="G33" s="11">
        <f>G5-F5</f>
        <v/>
      </c>
      <c r="H33" s="11">
        <f>H5-G5</f>
        <v/>
      </c>
      <c r="I33" s="11">
        <f>I5-H5</f>
        <v/>
      </c>
      <c r="J33" s="11">
        <f>J5-I5</f>
        <v/>
      </c>
      <c r="K33" s="11">
        <f>K5-J5</f>
        <v/>
      </c>
      <c r="L33" s="11">
        <f>L5-K5</f>
        <v/>
      </c>
      <c r="M33" s="11">
        <f>M5-L5</f>
        <v/>
      </c>
      <c r="N33" s="11">
        <f>N5-M5</f>
        <v/>
      </c>
      <c r="O33" s="11">
        <f>O5-N5</f>
        <v/>
      </c>
    </row>
    <row r="34">
      <c r="A34" s="5">
        <f>A6</f>
        <v/>
      </c>
      <c r="B34" s="2">
        <f>B6</f>
        <v/>
      </c>
      <c r="D34" s="11">
        <f>D6-C6</f>
        <v/>
      </c>
      <c r="E34" s="11">
        <f>E6-D6</f>
        <v/>
      </c>
      <c r="F34" s="11">
        <f>F6-E6</f>
        <v/>
      </c>
      <c r="G34" s="11">
        <f>G6-F6</f>
        <v/>
      </c>
      <c r="H34" s="11">
        <f>H6-G6</f>
        <v/>
      </c>
      <c r="I34" s="11">
        <f>I6-H6</f>
        <v/>
      </c>
      <c r="J34" s="11">
        <f>J6-I6</f>
        <v/>
      </c>
      <c r="K34" s="11">
        <f>K6-J6</f>
        <v/>
      </c>
      <c r="L34" s="11">
        <f>L6-K6</f>
        <v/>
      </c>
      <c r="M34" s="11">
        <f>M6-L6</f>
        <v/>
      </c>
      <c r="N34" s="11">
        <f>N6-M6</f>
        <v/>
      </c>
      <c r="O34" s="11">
        <f>O6-N6</f>
        <v/>
      </c>
    </row>
    <row r="35">
      <c r="A35" s="5">
        <f>A7</f>
        <v/>
      </c>
      <c r="B35" s="2">
        <f>B7</f>
        <v/>
      </c>
      <c r="D35" s="11">
        <f>D7-C7</f>
        <v/>
      </c>
      <c r="E35" s="11">
        <f>E7-D7</f>
        <v/>
      </c>
      <c r="F35" s="11">
        <f>F7-E7</f>
        <v/>
      </c>
      <c r="G35" s="11">
        <f>G7-F7</f>
        <v/>
      </c>
      <c r="H35" s="11">
        <f>H7-G7</f>
        <v/>
      </c>
      <c r="I35" s="11">
        <f>I7-H7</f>
        <v/>
      </c>
      <c r="J35" s="11">
        <f>J7-I7</f>
        <v/>
      </c>
      <c r="K35" s="11">
        <f>K7-J7</f>
        <v/>
      </c>
      <c r="L35" s="11">
        <f>L7-K7</f>
        <v/>
      </c>
      <c r="M35" s="11">
        <f>M7-L7</f>
        <v/>
      </c>
      <c r="N35" s="11">
        <f>N7-M7</f>
        <v/>
      </c>
      <c r="O35" s="11">
        <f>O7-N7</f>
        <v/>
      </c>
    </row>
    <row r="36">
      <c r="A36" s="5">
        <f>A8</f>
        <v/>
      </c>
      <c r="B36" s="2">
        <f>B8</f>
        <v/>
      </c>
      <c r="D36" s="11">
        <f>D8-C8</f>
        <v/>
      </c>
      <c r="E36" s="11">
        <f>E8-D8</f>
        <v/>
      </c>
      <c r="F36" s="11">
        <f>F8-E8</f>
        <v/>
      </c>
      <c r="G36" s="11">
        <f>G8-F8</f>
        <v/>
      </c>
      <c r="H36" s="11">
        <f>H8-G8</f>
        <v/>
      </c>
      <c r="I36" s="11">
        <f>I8-H8</f>
        <v/>
      </c>
      <c r="J36" s="11">
        <f>J8-I8</f>
        <v/>
      </c>
      <c r="K36" s="11">
        <f>K8-J8</f>
        <v/>
      </c>
      <c r="L36" s="11">
        <f>L8-K8</f>
        <v/>
      </c>
      <c r="M36" s="11">
        <f>M8-L8</f>
        <v/>
      </c>
      <c r="N36" s="11">
        <f>N8-M8</f>
        <v/>
      </c>
      <c r="O36" s="11">
        <f>O8-N8</f>
        <v/>
      </c>
    </row>
    <row r="37">
      <c r="A37" s="5">
        <f>A9</f>
        <v/>
      </c>
      <c r="B37" s="2">
        <f>B9</f>
        <v/>
      </c>
      <c r="D37" s="11">
        <f>D9-C9</f>
        <v/>
      </c>
      <c r="E37" s="11">
        <f>E9-D9</f>
        <v/>
      </c>
      <c r="F37" s="11">
        <f>F9-E9</f>
        <v/>
      </c>
      <c r="G37" s="11">
        <f>G9-F9</f>
        <v/>
      </c>
      <c r="H37" s="11">
        <f>H9-G9</f>
        <v/>
      </c>
      <c r="I37" s="11">
        <f>I9-H9</f>
        <v/>
      </c>
      <c r="J37" s="11">
        <f>J9-I9</f>
        <v/>
      </c>
      <c r="K37" s="11">
        <f>K9-J9</f>
        <v/>
      </c>
      <c r="L37" s="11">
        <f>L9-K9</f>
        <v/>
      </c>
      <c r="M37" s="11">
        <f>M9-L9</f>
        <v/>
      </c>
      <c r="N37" s="11">
        <f>N9-M9</f>
        <v/>
      </c>
      <c r="O37" s="11">
        <f>O9-N9</f>
        <v/>
      </c>
    </row>
    <row r="38">
      <c r="A38" s="5">
        <f>A10</f>
        <v/>
      </c>
      <c r="B38" s="2">
        <f>B10</f>
        <v/>
      </c>
      <c r="D38" s="11">
        <f>D10-C10</f>
        <v/>
      </c>
      <c r="E38" s="11">
        <f>E10-D10</f>
        <v/>
      </c>
      <c r="F38" s="11">
        <f>F10-E10</f>
        <v/>
      </c>
      <c r="G38" s="11">
        <f>G10-F10</f>
        <v/>
      </c>
      <c r="H38" s="11">
        <f>H10-G10</f>
        <v/>
      </c>
      <c r="I38" s="11">
        <f>I10-H10</f>
        <v/>
      </c>
      <c r="J38" s="11">
        <f>J10-I10</f>
        <v/>
      </c>
      <c r="K38" s="11">
        <f>K10-J10</f>
        <v/>
      </c>
      <c r="L38" s="11">
        <f>L10-K10</f>
        <v/>
      </c>
      <c r="M38" s="11">
        <f>M10-L10</f>
        <v/>
      </c>
      <c r="N38" s="11">
        <f>N10-M10</f>
        <v/>
      </c>
      <c r="O38" s="11">
        <f>O10-N10</f>
        <v/>
      </c>
    </row>
    <row r="39">
      <c r="A39" s="5">
        <f>A11</f>
        <v/>
      </c>
      <c r="B39" s="2">
        <f>B11</f>
        <v/>
      </c>
      <c r="D39" s="11">
        <f>D11-C11</f>
        <v/>
      </c>
      <c r="E39" s="11">
        <f>E11-D11</f>
        <v/>
      </c>
      <c r="F39" s="11">
        <f>F11-E11</f>
        <v/>
      </c>
      <c r="G39" s="11">
        <f>G11-F11</f>
        <v/>
      </c>
      <c r="H39" s="11">
        <f>H11-G11</f>
        <v/>
      </c>
      <c r="I39" s="11">
        <f>I11-H11</f>
        <v/>
      </c>
      <c r="J39" s="11">
        <f>J11-I11</f>
        <v/>
      </c>
      <c r="K39" s="11">
        <f>K11-J11</f>
        <v/>
      </c>
      <c r="L39" s="11">
        <f>L11-K11</f>
        <v/>
      </c>
      <c r="M39" s="11">
        <f>M11-L11</f>
        <v/>
      </c>
      <c r="N39" s="11">
        <f>N11-M11</f>
        <v/>
      </c>
      <c r="O39" s="11">
        <f>O11-N11</f>
        <v/>
      </c>
    </row>
    <row r="40">
      <c r="A40" s="5">
        <f>A12</f>
        <v/>
      </c>
      <c r="B40" s="2">
        <f>B12</f>
        <v/>
      </c>
      <c r="D40" s="11">
        <f>D12-C12</f>
        <v/>
      </c>
      <c r="E40" s="11">
        <f>E12-D12</f>
        <v/>
      </c>
      <c r="F40" s="11">
        <f>F12-E12</f>
        <v/>
      </c>
      <c r="G40" s="11">
        <f>G12-F12</f>
        <v/>
      </c>
      <c r="H40" s="11">
        <f>H12-G12</f>
        <v/>
      </c>
      <c r="I40" s="11">
        <f>I12-H12</f>
        <v/>
      </c>
      <c r="J40" s="11">
        <f>J12-I12</f>
        <v/>
      </c>
      <c r="K40" s="11">
        <f>K12-J12</f>
        <v/>
      </c>
      <c r="L40" s="11">
        <f>L12-K12</f>
        <v/>
      </c>
      <c r="M40" s="11">
        <f>M12-L12</f>
        <v/>
      </c>
      <c r="N40" s="11">
        <f>N12-M12</f>
        <v/>
      </c>
      <c r="O40" s="11">
        <f>O12-N12</f>
        <v/>
      </c>
    </row>
    <row r="41">
      <c r="A41" s="5">
        <f>A13</f>
        <v/>
      </c>
      <c r="B41" s="2">
        <f>B13</f>
        <v/>
      </c>
      <c r="D41" s="11">
        <f>D13-C13</f>
        <v/>
      </c>
      <c r="E41" s="11">
        <f>E13-D13</f>
        <v/>
      </c>
      <c r="F41" s="11">
        <f>F13-E13</f>
        <v/>
      </c>
      <c r="G41" s="11">
        <f>G13-F13</f>
        <v/>
      </c>
      <c r="H41" s="11">
        <f>H13-G13</f>
        <v/>
      </c>
      <c r="I41" s="11">
        <f>I13-H13</f>
        <v/>
      </c>
      <c r="J41" s="11">
        <f>J13-I13</f>
        <v/>
      </c>
      <c r="K41" s="11">
        <f>K13-J13</f>
        <v/>
      </c>
      <c r="L41" s="11">
        <f>L13-K13</f>
        <v/>
      </c>
      <c r="M41" s="11">
        <f>M13-L13</f>
        <v/>
      </c>
      <c r="N41" s="11">
        <f>N13-M13</f>
        <v/>
      </c>
      <c r="O41" s="11">
        <f>O13-N13</f>
        <v/>
      </c>
    </row>
    <row r="42">
      <c r="A42" s="5">
        <f>A14</f>
        <v/>
      </c>
      <c r="B42" s="2">
        <f>B14</f>
        <v/>
      </c>
      <c r="D42" s="11">
        <f>D14-C14</f>
        <v/>
      </c>
      <c r="E42" s="11">
        <f>E14-D14</f>
        <v/>
      </c>
      <c r="F42" s="11">
        <f>F14-E14</f>
        <v/>
      </c>
      <c r="G42" s="11">
        <f>G14-F14</f>
        <v/>
      </c>
      <c r="H42" s="11">
        <f>H14-G14</f>
        <v/>
      </c>
      <c r="I42" s="11">
        <f>I14-H14</f>
        <v/>
      </c>
      <c r="J42" s="11">
        <f>J14-I14</f>
        <v/>
      </c>
      <c r="K42" s="11">
        <f>K14-J14</f>
        <v/>
      </c>
      <c r="L42" s="11">
        <f>L14-K14</f>
        <v/>
      </c>
      <c r="M42" s="11">
        <f>M14-L14</f>
        <v/>
      </c>
      <c r="N42" s="11">
        <f>N14-M14</f>
        <v/>
      </c>
      <c r="O42" s="11">
        <f>O14-N14</f>
        <v/>
      </c>
    </row>
    <row r="43">
      <c r="A43" s="5">
        <f>A15</f>
        <v/>
      </c>
      <c r="B43" s="2">
        <f>B15</f>
        <v/>
      </c>
      <c r="D43" s="11">
        <f>D15-C15</f>
        <v/>
      </c>
      <c r="E43" s="11">
        <f>E15-D15</f>
        <v/>
      </c>
      <c r="F43" s="11">
        <f>F15-E15</f>
        <v/>
      </c>
      <c r="G43" s="11">
        <f>G15-F15</f>
        <v/>
      </c>
      <c r="H43" s="11">
        <f>H15-G15</f>
        <v/>
      </c>
      <c r="I43" s="11">
        <f>I15-H15</f>
        <v/>
      </c>
      <c r="J43" s="11">
        <f>J15-I15</f>
        <v/>
      </c>
      <c r="K43" s="11">
        <f>K15-J15</f>
        <v/>
      </c>
      <c r="L43" s="11">
        <f>L15-K15</f>
        <v/>
      </c>
      <c r="M43" s="11">
        <f>M15-L15</f>
        <v/>
      </c>
      <c r="N43" s="11">
        <f>N15-M15</f>
        <v/>
      </c>
      <c r="O43" s="11">
        <f>O15-N15</f>
        <v/>
      </c>
    </row>
    <row r="44">
      <c r="A44" s="7">
        <f>A16</f>
        <v/>
      </c>
      <c r="D44" s="12">
        <f>D16-C16</f>
        <v/>
      </c>
      <c r="E44" s="12">
        <f>E16-D16</f>
        <v/>
      </c>
      <c r="F44" s="12">
        <f>F16-E16</f>
        <v/>
      </c>
      <c r="G44" s="12">
        <f>G16-F16</f>
        <v/>
      </c>
      <c r="H44" s="12">
        <f>H16-G16</f>
        <v/>
      </c>
      <c r="I44" s="12">
        <f>I16-H16</f>
        <v/>
      </c>
      <c r="J44" s="12">
        <f>J16-I16</f>
        <v/>
      </c>
      <c r="K44" s="12">
        <f>K16-J16</f>
        <v/>
      </c>
      <c r="L44" s="12">
        <f>L16-K16</f>
        <v/>
      </c>
      <c r="M44" s="12">
        <f>M16-L16</f>
        <v/>
      </c>
      <c r="N44" s="12">
        <f>N16-M16</f>
        <v/>
      </c>
      <c r="O44" s="12">
        <f>O16-N16</f>
        <v/>
      </c>
    </row>
    <row r="46">
      <c r="A46" s="3" t="inlineStr">
        <is>
          <t>Último mês vs 09/25</t>
        </is>
      </c>
      <c r="B46" s="3" t="inlineStr"/>
      <c r="C46" s="3" t="inlineStr">
        <is>
          <t>Var. a/a</t>
        </is>
      </c>
      <c r="D46" s="3" t="inlineStr">
        <is>
          <t>Δ share (p.p.)</t>
        </is>
      </c>
    </row>
    <row r="47">
      <c r="A47" s="5">
        <f>A5</f>
        <v/>
      </c>
      <c r="C47" s="13">
        <f>IF(C5=0,0,O5/C5-1)</f>
        <v/>
      </c>
      <c r="D47" s="14">
        <f>(O19-C19)*100</f>
        <v/>
      </c>
    </row>
    <row r="48">
      <c r="A48" s="5">
        <f>A6</f>
        <v/>
      </c>
      <c r="C48" s="13">
        <f>IF(C6=0,0,O6/C6-1)</f>
        <v/>
      </c>
      <c r="D48" s="14">
        <f>(O20-C20)*100</f>
        <v/>
      </c>
    </row>
    <row r="49">
      <c r="A49" s="5">
        <f>A7</f>
        <v/>
      </c>
      <c r="C49" s="13">
        <f>IF(C7=0,0,O7/C7-1)</f>
        <v/>
      </c>
      <c r="D49" s="14">
        <f>(O21-C21)*100</f>
        <v/>
      </c>
    </row>
    <row r="50">
      <c r="A50" s="5">
        <f>A8</f>
        <v/>
      </c>
      <c r="C50" s="13">
        <f>IF(C8=0,0,O8/C8-1)</f>
        <v/>
      </c>
      <c r="D50" s="14">
        <f>(O22-C22)*100</f>
        <v/>
      </c>
    </row>
    <row r="51">
      <c r="A51" s="5">
        <f>A9</f>
        <v/>
      </c>
      <c r="C51" s="13">
        <f>IF(C9=0,0,O9/C9-1)</f>
        <v/>
      </c>
      <c r="D51" s="14">
        <f>(O23-C23)*100</f>
        <v/>
      </c>
    </row>
    <row r="52">
      <c r="A52" s="5">
        <f>A10</f>
        <v/>
      </c>
      <c r="C52" s="13">
        <f>IF(C10=0,0,O10/C10-1)</f>
        <v/>
      </c>
      <c r="D52" s="14">
        <f>(O24-C24)*100</f>
        <v/>
      </c>
    </row>
    <row r="53">
      <c r="A53" s="5">
        <f>A11</f>
        <v/>
      </c>
      <c r="C53" s="13">
        <f>IF(C11=0,0,O11/C11-1)</f>
        <v/>
      </c>
      <c r="D53" s="14">
        <f>(O25-C25)*100</f>
        <v/>
      </c>
    </row>
    <row r="54">
      <c r="A54" s="5">
        <f>A12</f>
        <v/>
      </c>
      <c r="C54" s="13">
        <f>IF(C12=0,0,O12/C12-1)</f>
        <v/>
      </c>
      <c r="D54" s="14">
        <f>(O26-C26)*100</f>
        <v/>
      </c>
    </row>
    <row r="55">
      <c r="A55" s="5">
        <f>A13</f>
        <v/>
      </c>
      <c r="C55" s="13">
        <f>IF(C13=0,0,O13/C13-1)</f>
        <v/>
      </c>
      <c r="D55" s="14">
        <f>(O27-C27)*100</f>
        <v/>
      </c>
    </row>
    <row r="56">
      <c r="A56" s="5">
        <f>A14</f>
        <v/>
      </c>
      <c r="C56" s="13">
        <f>IF(C14=0,0,O14/C14-1)</f>
        <v/>
      </c>
      <c r="D56" s="14">
        <f>(O28-C28)*100</f>
        <v/>
      </c>
    </row>
    <row r="57">
      <c r="A57" s="5">
        <f>A15</f>
        <v/>
      </c>
      <c r="C57" s="13">
        <f>IF(C15=0,0,O15/C15-1)</f>
        <v/>
      </c>
      <c r="D57" s="14">
        <f>(O29-C29)*100</f>
        <v/>
      </c>
    </row>
    <row r="58">
      <c r="A58" s="7">
        <f>A16</f>
        <v/>
      </c>
      <c r="C58" s="13">
        <f>IF(C16=0,0,O16/C16-1)</f>
        <v/>
      </c>
      <c r="D58" s="14">
        <f>(O30-C30)*100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Móvel pré-pago</t>
        </is>
      </c>
    </row>
    <row r="2">
      <c r="A2" s="2" t="inlineStr">
        <is>
          <t>Mesma base (sem M2M e ponto de serviço), só pré-pago</t>
        </is>
      </c>
    </row>
    <row r="4">
      <c r="A4" s="3" t="inlineStr">
        <is>
          <t>Acessos</t>
        </is>
      </c>
      <c r="B4" s="3" t="inlineStr">
        <is>
          <t>Grupo (rótulo Anatel)</t>
        </is>
      </c>
      <c r="C4" s="4" t="inlineStr">
        <is>
          <t>09/25</t>
        </is>
      </c>
      <c r="D4" s="4" t="inlineStr">
        <is>
          <t>10/25</t>
        </is>
      </c>
      <c r="E4" s="4" t="inlineStr">
        <is>
          <t>11/25</t>
        </is>
      </c>
      <c r="F4" s="4" t="inlineStr">
        <is>
          <t>12/25</t>
        </is>
      </c>
      <c r="G4" s="4" t="inlineStr">
        <is>
          <t>01/26</t>
        </is>
      </c>
      <c r="H4" s="4" t="inlineStr">
        <is>
          <t>02/26</t>
        </is>
      </c>
      <c r="I4" s="4" t="inlineStr">
        <is>
          <t>03/26</t>
        </is>
      </c>
      <c r="J4" s="4" t="inlineStr">
        <is>
          <t>04/26</t>
        </is>
      </c>
      <c r="K4" s="4" t="inlineStr">
        <is>
          <t>05/26</t>
        </is>
      </c>
      <c r="L4" s="4" t="inlineStr">
        <is>
          <t>06/26</t>
        </is>
      </c>
      <c r="M4" s="4" t="inlineStr">
        <is>
          <t>07/26</t>
        </is>
      </c>
      <c r="N4" s="4" t="inlineStr">
        <is>
          <t>08/26</t>
        </is>
      </c>
      <c r="O4" s="4" t="inlineStr">
        <is>
          <t>09/26</t>
        </is>
      </c>
    </row>
    <row r="5">
      <c r="A5" s="5" t="inlineStr">
        <is>
          <t>Vivo</t>
        </is>
      </c>
      <c r="B5" s="2" t="inlineStr">
        <is>
          <t>TELEFONICA</t>
        </is>
      </c>
      <c r="C5" s="6" t="n">
        <v>33184681</v>
      </c>
      <c r="D5" s="6" t="n">
        <v>32892541</v>
      </c>
      <c r="E5" s="6" t="n">
        <v>32564128</v>
      </c>
      <c r="F5" s="6" t="n">
        <v>32200069</v>
      </c>
      <c r="G5" s="6" t="n">
        <v>31926194</v>
      </c>
      <c r="H5" s="6" t="n">
        <v>31809594</v>
      </c>
      <c r="I5" s="6" t="n">
        <v>31599163</v>
      </c>
      <c r="J5" s="6" t="n">
        <v>31730751</v>
      </c>
      <c r="K5" s="6" t="n">
        <v>31858421</v>
      </c>
      <c r="L5" s="6" t="n">
        <v>31913610</v>
      </c>
      <c r="M5" s="6" t="n">
        <v>31817751</v>
      </c>
      <c r="N5" s="6" t="n">
        <v>31734617</v>
      </c>
      <c r="O5" s="6" t="n">
        <v>31679219</v>
      </c>
    </row>
    <row r="6">
      <c r="A6" s="5" t="inlineStr">
        <is>
          <t>Claro</t>
        </is>
      </c>
      <c r="B6" s="2" t="inlineStr">
        <is>
          <t>TELECOM AMERICAS</t>
        </is>
      </c>
      <c r="C6" s="6" t="n">
        <v>31487853</v>
      </c>
      <c r="D6" s="6" t="n">
        <v>31220097</v>
      </c>
      <c r="E6" s="6" t="n">
        <v>31136504</v>
      </c>
      <c r="F6" s="6" t="n">
        <v>31107287</v>
      </c>
      <c r="G6" s="6" t="n">
        <v>30891186</v>
      </c>
      <c r="H6" s="6" t="n">
        <v>31055521</v>
      </c>
      <c r="I6" s="6" t="n">
        <v>31156058</v>
      </c>
      <c r="J6" s="6" t="n">
        <v>31183068</v>
      </c>
      <c r="K6" s="6" t="n">
        <v>31257869</v>
      </c>
      <c r="L6" s="6" t="n">
        <v>31072928</v>
      </c>
      <c r="M6" s="6" t="n">
        <v>31025828</v>
      </c>
      <c r="N6" s="6" t="n">
        <v>30980686</v>
      </c>
      <c r="O6" s="6" t="n">
        <v>30887506</v>
      </c>
    </row>
    <row r="7">
      <c r="A7" s="5" t="inlineStr">
        <is>
          <t>TIM</t>
        </is>
      </c>
      <c r="B7" s="2" t="inlineStr">
        <is>
          <t>TELECOM ITALIA</t>
        </is>
      </c>
      <c r="C7" s="6" t="n">
        <v>30274981</v>
      </c>
      <c r="D7" s="6" t="n">
        <v>30079916</v>
      </c>
      <c r="E7" s="6" t="n">
        <v>29813273</v>
      </c>
      <c r="F7" s="6" t="n">
        <v>29225669</v>
      </c>
      <c r="G7" s="6" t="n">
        <v>29089629</v>
      </c>
      <c r="H7" s="6" t="n">
        <v>28785493</v>
      </c>
      <c r="I7" s="6" t="n">
        <v>28870821</v>
      </c>
      <c r="J7" s="6" t="n">
        <v>28531225</v>
      </c>
      <c r="K7" s="6" t="n">
        <v>28421494</v>
      </c>
      <c r="L7" s="6" t="n">
        <v>28210894</v>
      </c>
      <c r="M7" s="6" t="n">
        <v>28122416</v>
      </c>
      <c r="N7" s="6" t="n">
        <v>27891890</v>
      </c>
      <c r="O7" s="6" t="n">
        <v>27555087</v>
      </c>
    </row>
    <row r="8">
      <c r="A8" s="5" t="inlineStr">
        <is>
          <t>Surf Telecom</t>
        </is>
      </c>
      <c r="B8" s="2" t="inlineStr">
        <is>
          <t>SURF TELECOM</t>
        </is>
      </c>
      <c r="C8" s="6" t="n">
        <v>866862</v>
      </c>
      <c r="D8" s="6" t="n">
        <v>959113</v>
      </c>
      <c r="E8" s="6" t="n">
        <v>971169</v>
      </c>
      <c r="F8" s="6" t="n">
        <v>984653</v>
      </c>
      <c r="G8" s="6" t="n">
        <v>1000247</v>
      </c>
      <c r="H8" s="6" t="n">
        <v>1010954</v>
      </c>
      <c r="I8" s="6" t="n">
        <v>1028126</v>
      </c>
      <c r="J8" s="6" t="n">
        <v>1049365</v>
      </c>
      <c r="K8" s="6" t="n">
        <v>1077734</v>
      </c>
      <c r="L8" s="6" t="n">
        <v>1100680</v>
      </c>
      <c r="M8" s="6" t="n">
        <v>1118661</v>
      </c>
      <c r="N8" s="6" t="n">
        <v>1121101</v>
      </c>
      <c r="O8" s="6" t="n">
        <v>1124612</v>
      </c>
    </row>
    <row r="9">
      <c r="A9" s="5" t="inlineStr">
        <is>
          <t>Algar</t>
        </is>
      </c>
      <c r="B9" s="2" t="inlineStr">
        <is>
          <t>ALGAR (CTBC TELECOM)</t>
        </is>
      </c>
      <c r="C9" s="6" t="n">
        <v>507586</v>
      </c>
      <c r="D9" s="6" t="n">
        <v>506947</v>
      </c>
      <c r="E9" s="6" t="n">
        <v>503835</v>
      </c>
      <c r="F9" s="6" t="n">
        <v>507003</v>
      </c>
      <c r="G9" s="6" t="n">
        <v>513380</v>
      </c>
      <c r="H9" s="6" t="n">
        <v>513428</v>
      </c>
      <c r="I9" s="6" t="n">
        <v>510015</v>
      </c>
      <c r="J9" s="6" t="n">
        <v>504196</v>
      </c>
      <c r="K9" s="6" t="n">
        <v>498557</v>
      </c>
      <c r="L9" s="6" t="n">
        <v>495430</v>
      </c>
      <c r="M9" s="6" t="n">
        <v>490169</v>
      </c>
      <c r="N9" s="6" t="n">
        <v>481938</v>
      </c>
      <c r="O9" s="6" t="n">
        <v>479960</v>
      </c>
    </row>
    <row r="10">
      <c r="A10" s="5" t="inlineStr">
        <is>
          <t>Outros</t>
        </is>
      </c>
      <c r="B10" s="2" t="inlineStr">
        <is>
          <t>OUTROS</t>
        </is>
      </c>
      <c r="C10" s="6" t="n">
        <v>70665</v>
      </c>
      <c r="D10" s="6" t="n">
        <v>75306</v>
      </c>
      <c r="E10" s="6" t="n">
        <v>79801</v>
      </c>
      <c r="F10" s="6" t="n">
        <v>79162</v>
      </c>
      <c r="G10" s="6" t="n">
        <v>84043</v>
      </c>
      <c r="H10" s="6" t="n">
        <v>88089</v>
      </c>
      <c r="I10" s="6" t="n">
        <v>95327</v>
      </c>
      <c r="J10" s="6" t="n">
        <v>101294</v>
      </c>
      <c r="K10" s="6" t="n">
        <v>106843</v>
      </c>
      <c r="L10" s="6" t="n">
        <v>111143</v>
      </c>
      <c r="M10" s="6" t="n">
        <v>111416</v>
      </c>
      <c r="N10" s="6" t="n">
        <v>122161</v>
      </c>
      <c r="O10" s="6" t="n">
        <v>121861</v>
      </c>
    </row>
    <row r="11">
      <c r="A11" s="5" t="inlineStr">
        <is>
          <t>Unifique</t>
        </is>
      </c>
      <c r="B11" s="2" t="inlineStr">
        <is>
          <t>UNIFIQUE</t>
        </is>
      </c>
      <c r="C11" s="6" t="n">
        <v>18168</v>
      </c>
      <c r="D11" s="6" t="n">
        <v>18656</v>
      </c>
      <c r="E11" s="6" t="n">
        <v>18926</v>
      </c>
      <c r="F11" s="6" t="n">
        <v>19274</v>
      </c>
      <c r="G11" s="6" t="n">
        <v>19246</v>
      </c>
      <c r="H11" s="6" t="n">
        <v>19422</v>
      </c>
      <c r="I11" s="6" t="n">
        <v>19609</v>
      </c>
      <c r="J11" s="6" t="n">
        <v>19804</v>
      </c>
      <c r="K11" s="6" t="n">
        <v>21471</v>
      </c>
      <c r="L11" s="6" t="n">
        <v>27289</v>
      </c>
      <c r="M11" s="6" t="n">
        <v>27871</v>
      </c>
      <c r="N11" s="6" t="n">
        <v>27479</v>
      </c>
      <c r="O11" s="6" t="n">
        <v>27077</v>
      </c>
    </row>
    <row r="12">
      <c r="A12" s="5" t="inlineStr">
        <is>
          <t>Ligga Telecom</t>
        </is>
      </c>
      <c r="B12" s="2" t="inlineStr">
        <is>
          <t>LIGGA TELECOM</t>
        </is>
      </c>
      <c r="C12" s="6" t="n">
        <v>15922</v>
      </c>
      <c r="D12" s="6" t="n">
        <v>15724</v>
      </c>
      <c r="E12" s="6" t="n">
        <v>15533</v>
      </c>
      <c r="F12" s="6" t="n">
        <v>15238</v>
      </c>
      <c r="G12" s="6" t="n">
        <v>14996</v>
      </c>
      <c r="H12" s="6" t="n">
        <v>14811</v>
      </c>
      <c r="I12" s="6" t="n">
        <v>14641</v>
      </c>
      <c r="J12" s="6" t="n">
        <v>14409</v>
      </c>
      <c r="K12" s="6" t="n">
        <v>14183</v>
      </c>
      <c r="L12" s="6" t="n">
        <v>13638</v>
      </c>
      <c r="M12" s="6" t="n">
        <v>13406</v>
      </c>
      <c r="N12" s="6" t="n">
        <v>13233</v>
      </c>
      <c r="O12" s="6" t="n">
        <v>12999</v>
      </c>
    </row>
    <row r="13">
      <c r="A13" s="7" t="inlineStr">
        <is>
          <t>Total</t>
        </is>
      </c>
      <c r="C13" s="8">
        <f>SUM(C5:C12)</f>
        <v/>
      </c>
      <c r="D13" s="8">
        <f>SUM(D5:D12)</f>
        <v/>
      </c>
      <c r="E13" s="8">
        <f>SUM(E5:E12)</f>
        <v/>
      </c>
      <c r="F13" s="8">
        <f>SUM(F5:F12)</f>
        <v/>
      </c>
      <c r="G13" s="8">
        <f>SUM(G5:G12)</f>
        <v/>
      </c>
      <c r="H13" s="8">
        <f>SUM(H5:H12)</f>
        <v/>
      </c>
      <c r="I13" s="8">
        <f>SUM(I5:I12)</f>
        <v/>
      </c>
      <c r="J13" s="8">
        <f>SUM(J5:J12)</f>
        <v/>
      </c>
      <c r="K13" s="8">
        <f>SUM(K5:K12)</f>
        <v/>
      </c>
      <c r="L13" s="8">
        <f>SUM(L5:L12)</f>
        <v/>
      </c>
      <c r="M13" s="8">
        <f>SUM(M5:M12)</f>
        <v/>
      </c>
      <c r="N13" s="8">
        <f>SUM(N5:N12)</f>
        <v/>
      </c>
      <c r="O13" s="8">
        <f>SUM(O5:O12)</f>
        <v/>
      </c>
    </row>
    <row r="15">
      <c r="A15" s="3" t="inlineStr">
        <is>
          <t>Market share</t>
        </is>
      </c>
      <c r="B15" s="3" t="inlineStr">
        <is>
          <t>Grupo (rótulo Anatel)</t>
        </is>
      </c>
      <c r="C15" s="4" t="inlineStr">
        <is>
          <t>09/25</t>
        </is>
      </c>
      <c r="D15" s="4" t="inlineStr">
        <is>
          <t>10/25</t>
        </is>
      </c>
      <c r="E15" s="4" t="inlineStr">
        <is>
          <t>11/25</t>
        </is>
      </c>
      <c r="F15" s="4" t="inlineStr">
        <is>
          <t>12/25</t>
        </is>
      </c>
      <c r="G15" s="4" t="inlineStr">
        <is>
          <t>01/26</t>
        </is>
      </c>
      <c r="H15" s="4" t="inlineStr">
        <is>
          <t>02/26</t>
        </is>
      </c>
      <c r="I15" s="4" t="inlineStr">
        <is>
          <t>03/26</t>
        </is>
      </c>
      <c r="J15" s="4" t="inlineStr">
        <is>
          <t>04/26</t>
        </is>
      </c>
      <c r="K15" s="4" t="inlineStr">
        <is>
          <t>05/26</t>
        </is>
      </c>
      <c r="L15" s="4" t="inlineStr">
        <is>
          <t>06/26</t>
        </is>
      </c>
      <c r="M15" s="4" t="inlineStr">
        <is>
          <t>07/26</t>
        </is>
      </c>
      <c r="N15" s="4" t="inlineStr">
        <is>
          <t>08/26</t>
        </is>
      </c>
      <c r="O15" s="4" t="inlineStr">
        <is>
          <t>09/26</t>
        </is>
      </c>
    </row>
    <row r="16">
      <c r="A16" s="5">
        <f>A5</f>
        <v/>
      </c>
      <c r="B16" s="2">
        <f>B5</f>
        <v/>
      </c>
      <c r="C16" s="9">
        <f>IF(C$13=0,0,C5/C$13)</f>
        <v/>
      </c>
      <c r="D16" s="9">
        <f>IF(D$13=0,0,D5/D$13)</f>
        <v/>
      </c>
      <c r="E16" s="9">
        <f>IF(E$13=0,0,E5/E$13)</f>
        <v/>
      </c>
      <c r="F16" s="9">
        <f>IF(F$13=0,0,F5/F$13)</f>
        <v/>
      </c>
      <c r="G16" s="9">
        <f>IF(G$13=0,0,G5/G$13)</f>
        <v/>
      </c>
      <c r="H16" s="9">
        <f>IF(H$13=0,0,H5/H$13)</f>
        <v/>
      </c>
      <c r="I16" s="9">
        <f>IF(I$13=0,0,I5/I$13)</f>
        <v/>
      </c>
      <c r="J16" s="9">
        <f>IF(J$13=0,0,J5/J$13)</f>
        <v/>
      </c>
      <c r="K16" s="9">
        <f>IF(K$13=0,0,K5/K$13)</f>
        <v/>
      </c>
      <c r="L16" s="9">
        <f>IF(L$13=0,0,L5/L$13)</f>
        <v/>
      </c>
      <c r="M16" s="9">
        <f>IF(M$13=0,0,M5/M$13)</f>
        <v/>
      </c>
      <c r="N16" s="9">
        <f>IF(N$13=0,0,N5/N$13)</f>
        <v/>
      </c>
      <c r="O16" s="9">
        <f>IF(O$13=0,0,O5/O$13)</f>
        <v/>
      </c>
    </row>
    <row r="17">
      <c r="A17" s="5">
        <f>A6</f>
        <v/>
      </c>
      <c r="B17" s="2">
        <f>B6</f>
        <v/>
      </c>
      <c r="C17" s="9">
        <f>IF(C$13=0,0,C6/C$13)</f>
        <v/>
      </c>
      <c r="D17" s="9">
        <f>IF(D$13=0,0,D6/D$13)</f>
        <v/>
      </c>
      <c r="E17" s="9">
        <f>IF(E$13=0,0,E6/E$13)</f>
        <v/>
      </c>
      <c r="F17" s="9">
        <f>IF(F$13=0,0,F6/F$13)</f>
        <v/>
      </c>
      <c r="G17" s="9">
        <f>IF(G$13=0,0,G6/G$13)</f>
        <v/>
      </c>
      <c r="H17" s="9">
        <f>IF(H$13=0,0,H6/H$13)</f>
        <v/>
      </c>
      <c r="I17" s="9">
        <f>IF(I$13=0,0,I6/I$13)</f>
        <v/>
      </c>
      <c r="J17" s="9">
        <f>IF(J$13=0,0,J6/J$13)</f>
        <v/>
      </c>
      <c r="K17" s="9">
        <f>IF(K$13=0,0,K6/K$13)</f>
        <v/>
      </c>
      <c r="L17" s="9">
        <f>IF(L$13=0,0,L6/L$13)</f>
        <v/>
      </c>
      <c r="M17" s="9">
        <f>IF(M$13=0,0,M6/M$13)</f>
        <v/>
      </c>
      <c r="N17" s="9">
        <f>IF(N$13=0,0,N6/N$13)</f>
        <v/>
      </c>
      <c r="O17" s="9">
        <f>IF(O$13=0,0,O6/O$13)</f>
        <v/>
      </c>
    </row>
    <row r="18">
      <c r="A18" s="5">
        <f>A7</f>
        <v/>
      </c>
      <c r="B18" s="2">
        <f>B7</f>
        <v/>
      </c>
      <c r="C18" s="9">
        <f>IF(C$13=0,0,C7/C$13)</f>
        <v/>
      </c>
      <c r="D18" s="9">
        <f>IF(D$13=0,0,D7/D$13)</f>
        <v/>
      </c>
      <c r="E18" s="9">
        <f>IF(E$13=0,0,E7/E$13)</f>
        <v/>
      </c>
      <c r="F18" s="9">
        <f>IF(F$13=0,0,F7/F$13)</f>
        <v/>
      </c>
      <c r="G18" s="9">
        <f>IF(G$13=0,0,G7/G$13)</f>
        <v/>
      </c>
      <c r="H18" s="9">
        <f>IF(H$13=0,0,H7/H$13)</f>
        <v/>
      </c>
      <c r="I18" s="9">
        <f>IF(I$13=0,0,I7/I$13)</f>
        <v/>
      </c>
      <c r="J18" s="9">
        <f>IF(J$13=0,0,J7/J$13)</f>
        <v/>
      </c>
      <c r="K18" s="9">
        <f>IF(K$13=0,0,K7/K$13)</f>
        <v/>
      </c>
      <c r="L18" s="9">
        <f>IF(L$13=0,0,L7/L$13)</f>
        <v/>
      </c>
      <c r="M18" s="9">
        <f>IF(M$13=0,0,M7/M$13)</f>
        <v/>
      </c>
      <c r="N18" s="9">
        <f>IF(N$13=0,0,N7/N$13)</f>
        <v/>
      </c>
      <c r="O18" s="9">
        <f>IF(O$13=0,0,O7/O$13)</f>
        <v/>
      </c>
    </row>
    <row r="19">
      <c r="A19" s="5">
        <f>A8</f>
        <v/>
      </c>
      <c r="B19" s="2">
        <f>B8</f>
        <v/>
      </c>
      <c r="C19" s="9">
        <f>IF(C$13=0,0,C8/C$13)</f>
        <v/>
      </c>
      <c r="D19" s="9">
        <f>IF(D$13=0,0,D8/D$13)</f>
        <v/>
      </c>
      <c r="E19" s="9">
        <f>IF(E$13=0,0,E8/E$13)</f>
        <v/>
      </c>
      <c r="F19" s="9">
        <f>IF(F$13=0,0,F8/F$13)</f>
        <v/>
      </c>
      <c r="G19" s="9">
        <f>IF(G$13=0,0,G8/G$13)</f>
        <v/>
      </c>
      <c r="H19" s="9">
        <f>IF(H$13=0,0,H8/H$13)</f>
        <v/>
      </c>
      <c r="I19" s="9">
        <f>IF(I$13=0,0,I8/I$13)</f>
        <v/>
      </c>
      <c r="J19" s="9">
        <f>IF(J$13=0,0,J8/J$13)</f>
        <v/>
      </c>
      <c r="K19" s="9">
        <f>IF(K$13=0,0,K8/K$13)</f>
        <v/>
      </c>
      <c r="L19" s="9">
        <f>IF(L$13=0,0,L8/L$13)</f>
        <v/>
      </c>
      <c r="M19" s="9">
        <f>IF(M$13=0,0,M8/M$13)</f>
        <v/>
      </c>
      <c r="N19" s="9">
        <f>IF(N$13=0,0,N8/N$13)</f>
        <v/>
      </c>
      <c r="O19" s="9">
        <f>IF(O$13=0,0,O8/O$13)</f>
        <v/>
      </c>
    </row>
    <row r="20">
      <c r="A20" s="5">
        <f>A9</f>
        <v/>
      </c>
      <c r="B20" s="2">
        <f>B9</f>
        <v/>
      </c>
      <c r="C20" s="9">
        <f>IF(C$13=0,0,C9/C$13)</f>
        <v/>
      </c>
      <c r="D20" s="9">
        <f>IF(D$13=0,0,D9/D$13)</f>
        <v/>
      </c>
      <c r="E20" s="9">
        <f>IF(E$13=0,0,E9/E$13)</f>
        <v/>
      </c>
      <c r="F20" s="9">
        <f>IF(F$13=0,0,F9/F$13)</f>
        <v/>
      </c>
      <c r="G20" s="9">
        <f>IF(G$13=0,0,G9/G$13)</f>
        <v/>
      </c>
      <c r="H20" s="9">
        <f>IF(H$13=0,0,H9/H$13)</f>
        <v/>
      </c>
      <c r="I20" s="9">
        <f>IF(I$13=0,0,I9/I$13)</f>
        <v/>
      </c>
      <c r="J20" s="9">
        <f>IF(J$13=0,0,J9/J$13)</f>
        <v/>
      </c>
      <c r="K20" s="9">
        <f>IF(K$13=0,0,K9/K$13)</f>
        <v/>
      </c>
      <c r="L20" s="9">
        <f>IF(L$13=0,0,L9/L$13)</f>
        <v/>
      </c>
      <c r="M20" s="9">
        <f>IF(M$13=0,0,M9/M$13)</f>
        <v/>
      </c>
      <c r="N20" s="9">
        <f>IF(N$13=0,0,N9/N$13)</f>
        <v/>
      </c>
      <c r="O20" s="9">
        <f>IF(O$13=0,0,O9/O$13)</f>
        <v/>
      </c>
    </row>
    <row r="21">
      <c r="A21" s="5">
        <f>A10</f>
        <v/>
      </c>
      <c r="B21" s="2">
        <f>B10</f>
        <v/>
      </c>
      <c r="C21" s="9">
        <f>IF(C$13=0,0,C10/C$13)</f>
        <v/>
      </c>
      <c r="D21" s="9">
        <f>IF(D$13=0,0,D10/D$13)</f>
        <v/>
      </c>
      <c r="E21" s="9">
        <f>IF(E$13=0,0,E10/E$13)</f>
        <v/>
      </c>
      <c r="F21" s="9">
        <f>IF(F$13=0,0,F10/F$13)</f>
        <v/>
      </c>
      <c r="G21" s="9">
        <f>IF(G$13=0,0,G10/G$13)</f>
        <v/>
      </c>
      <c r="H21" s="9">
        <f>IF(H$13=0,0,H10/H$13)</f>
        <v/>
      </c>
      <c r="I21" s="9">
        <f>IF(I$13=0,0,I10/I$13)</f>
        <v/>
      </c>
      <c r="J21" s="9">
        <f>IF(J$13=0,0,J10/J$13)</f>
        <v/>
      </c>
      <c r="K21" s="9">
        <f>IF(K$13=0,0,K10/K$13)</f>
        <v/>
      </c>
      <c r="L21" s="9">
        <f>IF(L$13=0,0,L10/L$13)</f>
        <v/>
      </c>
      <c r="M21" s="9">
        <f>IF(M$13=0,0,M10/M$13)</f>
        <v/>
      </c>
      <c r="N21" s="9">
        <f>IF(N$13=0,0,N10/N$13)</f>
        <v/>
      </c>
      <c r="O21" s="9">
        <f>IF(O$13=0,0,O10/O$13)</f>
        <v/>
      </c>
    </row>
    <row r="22">
      <c r="A22" s="5">
        <f>A11</f>
        <v/>
      </c>
      <c r="B22" s="2">
        <f>B11</f>
        <v/>
      </c>
      <c r="C22" s="9">
        <f>IF(C$13=0,0,C11/C$13)</f>
        <v/>
      </c>
      <c r="D22" s="9">
        <f>IF(D$13=0,0,D11/D$13)</f>
        <v/>
      </c>
      <c r="E22" s="9">
        <f>IF(E$13=0,0,E11/E$13)</f>
        <v/>
      </c>
      <c r="F22" s="9">
        <f>IF(F$13=0,0,F11/F$13)</f>
        <v/>
      </c>
      <c r="G22" s="9">
        <f>IF(G$13=0,0,G11/G$13)</f>
        <v/>
      </c>
      <c r="H22" s="9">
        <f>IF(H$13=0,0,H11/H$13)</f>
        <v/>
      </c>
      <c r="I22" s="9">
        <f>IF(I$13=0,0,I11/I$13)</f>
        <v/>
      </c>
      <c r="J22" s="9">
        <f>IF(J$13=0,0,J11/J$13)</f>
        <v/>
      </c>
      <c r="K22" s="9">
        <f>IF(K$13=0,0,K11/K$13)</f>
        <v/>
      </c>
      <c r="L22" s="9">
        <f>IF(L$13=0,0,L11/L$13)</f>
        <v/>
      </c>
      <c r="M22" s="9">
        <f>IF(M$13=0,0,M11/M$13)</f>
        <v/>
      </c>
      <c r="N22" s="9">
        <f>IF(N$13=0,0,N11/N$13)</f>
        <v/>
      </c>
      <c r="O22" s="9">
        <f>IF(O$13=0,0,O11/O$13)</f>
        <v/>
      </c>
    </row>
    <row r="23">
      <c r="A23" s="5">
        <f>A12</f>
        <v/>
      </c>
      <c r="B23" s="2">
        <f>B12</f>
        <v/>
      </c>
      <c r="C23" s="9">
        <f>IF(C$13=0,0,C12/C$13)</f>
        <v/>
      </c>
      <c r="D23" s="9">
        <f>IF(D$13=0,0,D12/D$13)</f>
        <v/>
      </c>
      <c r="E23" s="9">
        <f>IF(E$13=0,0,E12/E$13)</f>
        <v/>
      </c>
      <c r="F23" s="9">
        <f>IF(F$13=0,0,F12/F$13)</f>
        <v/>
      </c>
      <c r="G23" s="9">
        <f>IF(G$13=0,0,G12/G$13)</f>
        <v/>
      </c>
      <c r="H23" s="9">
        <f>IF(H$13=0,0,H12/H$13)</f>
        <v/>
      </c>
      <c r="I23" s="9">
        <f>IF(I$13=0,0,I12/I$13)</f>
        <v/>
      </c>
      <c r="J23" s="9">
        <f>IF(J$13=0,0,J12/J$13)</f>
        <v/>
      </c>
      <c r="K23" s="9">
        <f>IF(K$13=0,0,K12/K$13)</f>
        <v/>
      </c>
      <c r="L23" s="9">
        <f>IF(L$13=0,0,L12/L$13)</f>
        <v/>
      </c>
      <c r="M23" s="9">
        <f>IF(M$13=0,0,M12/M$13)</f>
        <v/>
      </c>
      <c r="N23" s="9">
        <f>IF(N$13=0,0,N12/N$13)</f>
        <v/>
      </c>
      <c r="O23" s="9">
        <f>IF(O$13=0,0,O12/O$13)</f>
        <v/>
      </c>
    </row>
    <row r="24">
      <c r="A24" s="7">
        <f>A13</f>
        <v/>
      </c>
      <c r="C24" s="10">
        <f>IF(C$13=0,0,C13/C$13)</f>
        <v/>
      </c>
      <c r="D24" s="10">
        <f>IF(D$13=0,0,D13/D$13)</f>
        <v/>
      </c>
      <c r="E24" s="10">
        <f>IF(E$13=0,0,E13/E$13)</f>
        <v/>
      </c>
      <c r="F24" s="10">
        <f>IF(F$13=0,0,F13/F$13)</f>
        <v/>
      </c>
      <c r="G24" s="10">
        <f>IF(G$13=0,0,G13/G$13)</f>
        <v/>
      </c>
      <c r="H24" s="10">
        <f>IF(H$13=0,0,H13/H$13)</f>
        <v/>
      </c>
      <c r="I24" s="10">
        <f>IF(I$13=0,0,I13/I$13)</f>
        <v/>
      </c>
      <c r="J24" s="10">
        <f>IF(J$13=0,0,J13/J$13)</f>
        <v/>
      </c>
      <c r="K24" s="10">
        <f>IF(K$13=0,0,K13/K$13)</f>
        <v/>
      </c>
      <c r="L24" s="10">
        <f>IF(L$13=0,0,L13/L$13)</f>
        <v/>
      </c>
      <c r="M24" s="10">
        <f>IF(M$13=0,0,M13/M$13)</f>
        <v/>
      </c>
      <c r="N24" s="10">
        <f>IF(N$13=0,0,N13/N$13)</f>
        <v/>
      </c>
      <c r="O24" s="10">
        <f>IF(O$13=0,0,O13/O$13)</f>
        <v/>
      </c>
    </row>
    <row r="26">
      <c r="A26" s="3" t="inlineStr">
        <is>
          <t>Adições líquidas (m/m)</t>
        </is>
      </c>
      <c r="B26" s="3" t="inlineStr">
        <is>
          <t>Grupo (rótulo Anatel)</t>
        </is>
      </c>
      <c r="C26" s="4" t="inlineStr">
        <is>
          <t>09/25</t>
        </is>
      </c>
      <c r="D26" s="4" t="inlineStr">
        <is>
          <t>10/25</t>
        </is>
      </c>
      <c r="E26" s="4" t="inlineStr">
        <is>
          <t>11/25</t>
        </is>
      </c>
      <c r="F26" s="4" t="inlineStr">
        <is>
          <t>12/25</t>
        </is>
      </c>
      <c r="G26" s="4" t="inlineStr">
        <is>
          <t>01/26</t>
        </is>
      </c>
      <c r="H26" s="4" t="inlineStr">
        <is>
          <t>02/26</t>
        </is>
      </c>
      <c r="I26" s="4" t="inlineStr">
        <is>
          <t>03/26</t>
        </is>
      </c>
      <c r="J26" s="4" t="inlineStr">
        <is>
          <t>04/26</t>
        </is>
      </c>
      <c r="K26" s="4" t="inlineStr">
        <is>
          <t>05/26</t>
        </is>
      </c>
      <c r="L26" s="4" t="inlineStr">
        <is>
          <t>06/26</t>
        </is>
      </c>
      <c r="M26" s="4" t="inlineStr">
        <is>
          <t>07/26</t>
        </is>
      </c>
      <c r="N26" s="4" t="inlineStr">
        <is>
          <t>08/26</t>
        </is>
      </c>
      <c r="O26" s="4" t="inlineStr">
        <is>
          <t>09/26</t>
        </is>
      </c>
    </row>
    <row r="27">
      <c r="A27" s="5">
        <f>A5</f>
        <v/>
      </c>
      <c r="B27" s="2">
        <f>B5</f>
        <v/>
      </c>
      <c r="D27" s="11">
        <f>D5-C5</f>
        <v/>
      </c>
      <c r="E27" s="11">
        <f>E5-D5</f>
        <v/>
      </c>
      <c r="F27" s="11">
        <f>F5-E5</f>
        <v/>
      </c>
      <c r="G27" s="11">
        <f>G5-F5</f>
        <v/>
      </c>
      <c r="H27" s="11">
        <f>H5-G5</f>
        <v/>
      </c>
      <c r="I27" s="11">
        <f>I5-H5</f>
        <v/>
      </c>
      <c r="J27" s="11">
        <f>J5-I5</f>
        <v/>
      </c>
      <c r="K27" s="11">
        <f>K5-J5</f>
        <v/>
      </c>
      <c r="L27" s="11">
        <f>L5-K5</f>
        <v/>
      </c>
      <c r="M27" s="11">
        <f>M5-L5</f>
        <v/>
      </c>
      <c r="N27" s="11">
        <f>N5-M5</f>
        <v/>
      </c>
      <c r="O27" s="11">
        <f>O5-N5</f>
        <v/>
      </c>
    </row>
    <row r="28">
      <c r="A28" s="5">
        <f>A6</f>
        <v/>
      </c>
      <c r="B28" s="2">
        <f>B6</f>
        <v/>
      </c>
      <c r="D28" s="11">
        <f>D6-C6</f>
        <v/>
      </c>
      <c r="E28" s="11">
        <f>E6-D6</f>
        <v/>
      </c>
      <c r="F28" s="11">
        <f>F6-E6</f>
        <v/>
      </c>
      <c r="G28" s="11">
        <f>G6-F6</f>
        <v/>
      </c>
      <c r="H28" s="11">
        <f>H6-G6</f>
        <v/>
      </c>
      <c r="I28" s="11">
        <f>I6-H6</f>
        <v/>
      </c>
      <c r="J28" s="11">
        <f>J6-I6</f>
        <v/>
      </c>
      <c r="K28" s="11">
        <f>K6-J6</f>
        <v/>
      </c>
      <c r="L28" s="11">
        <f>L6-K6</f>
        <v/>
      </c>
      <c r="M28" s="11">
        <f>M6-L6</f>
        <v/>
      </c>
      <c r="N28" s="11">
        <f>N6-M6</f>
        <v/>
      </c>
      <c r="O28" s="11">
        <f>O6-N6</f>
        <v/>
      </c>
    </row>
    <row r="29">
      <c r="A29" s="5">
        <f>A7</f>
        <v/>
      </c>
      <c r="B29" s="2">
        <f>B7</f>
        <v/>
      </c>
      <c r="D29" s="11">
        <f>D7-C7</f>
        <v/>
      </c>
      <c r="E29" s="11">
        <f>E7-D7</f>
        <v/>
      </c>
      <c r="F29" s="11">
        <f>F7-E7</f>
        <v/>
      </c>
      <c r="G29" s="11">
        <f>G7-F7</f>
        <v/>
      </c>
      <c r="H29" s="11">
        <f>H7-G7</f>
        <v/>
      </c>
      <c r="I29" s="11">
        <f>I7-H7</f>
        <v/>
      </c>
      <c r="J29" s="11">
        <f>J7-I7</f>
        <v/>
      </c>
      <c r="K29" s="11">
        <f>K7-J7</f>
        <v/>
      </c>
      <c r="L29" s="11">
        <f>L7-K7</f>
        <v/>
      </c>
      <c r="M29" s="11">
        <f>M7-L7</f>
        <v/>
      </c>
      <c r="N29" s="11">
        <f>N7-M7</f>
        <v/>
      </c>
      <c r="O29" s="11">
        <f>O7-N7</f>
        <v/>
      </c>
    </row>
    <row r="30">
      <c r="A30" s="5">
        <f>A8</f>
        <v/>
      </c>
      <c r="B30" s="2">
        <f>B8</f>
        <v/>
      </c>
      <c r="D30" s="11">
        <f>D8-C8</f>
        <v/>
      </c>
      <c r="E30" s="11">
        <f>E8-D8</f>
        <v/>
      </c>
      <c r="F30" s="11">
        <f>F8-E8</f>
        <v/>
      </c>
      <c r="G30" s="11">
        <f>G8-F8</f>
        <v/>
      </c>
      <c r="H30" s="11">
        <f>H8-G8</f>
        <v/>
      </c>
      <c r="I30" s="11">
        <f>I8-H8</f>
        <v/>
      </c>
      <c r="J30" s="11">
        <f>J8-I8</f>
        <v/>
      </c>
      <c r="K30" s="11">
        <f>K8-J8</f>
        <v/>
      </c>
      <c r="L30" s="11">
        <f>L8-K8</f>
        <v/>
      </c>
      <c r="M30" s="11">
        <f>M8-L8</f>
        <v/>
      </c>
      <c r="N30" s="11">
        <f>N8-M8</f>
        <v/>
      </c>
      <c r="O30" s="11">
        <f>O8-N8</f>
        <v/>
      </c>
    </row>
    <row r="31">
      <c r="A31" s="5">
        <f>A9</f>
        <v/>
      </c>
      <c r="B31" s="2">
        <f>B9</f>
        <v/>
      </c>
      <c r="D31" s="11">
        <f>D9-C9</f>
        <v/>
      </c>
      <c r="E31" s="11">
        <f>E9-D9</f>
        <v/>
      </c>
      <c r="F31" s="11">
        <f>F9-E9</f>
        <v/>
      </c>
      <c r="G31" s="11">
        <f>G9-F9</f>
        <v/>
      </c>
      <c r="H31" s="11">
        <f>H9-G9</f>
        <v/>
      </c>
      <c r="I31" s="11">
        <f>I9-H9</f>
        <v/>
      </c>
      <c r="J31" s="11">
        <f>J9-I9</f>
        <v/>
      </c>
      <c r="K31" s="11">
        <f>K9-J9</f>
        <v/>
      </c>
      <c r="L31" s="11">
        <f>L9-K9</f>
        <v/>
      </c>
      <c r="M31" s="11">
        <f>M9-L9</f>
        <v/>
      </c>
      <c r="N31" s="11">
        <f>N9-M9</f>
        <v/>
      </c>
      <c r="O31" s="11">
        <f>O9-N9</f>
        <v/>
      </c>
    </row>
    <row r="32">
      <c r="A32" s="5">
        <f>A10</f>
        <v/>
      </c>
      <c r="B32" s="2">
        <f>B10</f>
        <v/>
      </c>
      <c r="D32" s="11">
        <f>D10-C10</f>
        <v/>
      </c>
      <c r="E32" s="11">
        <f>E10-D10</f>
        <v/>
      </c>
      <c r="F32" s="11">
        <f>F10-E10</f>
        <v/>
      </c>
      <c r="G32" s="11">
        <f>G10-F10</f>
        <v/>
      </c>
      <c r="H32" s="11">
        <f>H10-G10</f>
        <v/>
      </c>
      <c r="I32" s="11">
        <f>I10-H10</f>
        <v/>
      </c>
      <c r="J32" s="11">
        <f>J10-I10</f>
        <v/>
      </c>
      <c r="K32" s="11">
        <f>K10-J10</f>
        <v/>
      </c>
      <c r="L32" s="11">
        <f>L10-K10</f>
        <v/>
      </c>
      <c r="M32" s="11">
        <f>M10-L10</f>
        <v/>
      </c>
      <c r="N32" s="11">
        <f>N10-M10</f>
        <v/>
      </c>
      <c r="O32" s="11">
        <f>O10-N10</f>
        <v/>
      </c>
    </row>
    <row r="33">
      <c r="A33" s="5">
        <f>A11</f>
        <v/>
      </c>
      <c r="B33" s="2">
        <f>B11</f>
        <v/>
      </c>
      <c r="D33" s="11">
        <f>D11-C11</f>
        <v/>
      </c>
      <c r="E33" s="11">
        <f>E11-D11</f>
        <v/>
      </c>
      <c r="F33" s="11">
        <f>F11-E11</f>
        <v/>
      </c>
      <c r="G33" s="11">
        <f>G11-F11</f>
        <v/>
      </c>
      <c r="H33" s="11">
        <f>H11-G11</f>
        <v/>
      </c>
      <c r="I33" s="11">
        <f>I11-H11</f>
        <v/>
      </c>
      <c r="J33" s="11">
        <f>J11-I11</f>
        <v/>
      </c>
      <c r="K33" s="11">
        <f>K11-J11</f>
        <v/>
      </c>
      <c r="L33" s="11">
        <f>L11-K11</f>
        <v/>
      </c>
      <c r="M33" s="11">
        <f>M11-L11</f>
        <v/>
      </c>
      <c r="N33" s="11">
        <f>N11-M11</f>
        <v/>
      </c>
      <c r="O33" s="11">
        <f>O11-N11</f>
        <v/>
      </c>
    </row>
    <row r="34">
      <c r="A34" s="5">
        <f>A12</f>
        <v/>
      </c>
      <c r="B34" s="2">
        <f>B12</f>
        <v/>
      </c>
      <c r="D34" s="11">
        <f>D12-C12</f>
        <v/>
      </c>
      <c r="E34" s="11">
        <f>E12-D12</f>
        <v/>
      </c>
      <c r="F34" s="11">
        <f>F12-E12</f>
        <v/>
      </c>
      <c r="G34" s="11">
        <f>G12-F12</f>
        <v/>
      </c>
      <c r="H34" s="11">
        <f>H12-G12</f>
        <v/>
      </c>
      <c r="I34" s="11">
        <f>I12-H12</f>
        <v/>
      </c>
      <c r="J34" s="11">
        <f>J12-I12</f>
        <v/>
      </c>
      <c r="K34" s="11">
        <f>K12-J12</f>
        <v/>
      </c>
      <c r="L34" s="11">
        <f>L12-K12</f>
        <v/>
      </c>
      <c r="M34" s="11">
        <f>M12-L12</f>
        <v/>
      </c>
      <c r="N34" s="11">
        <f>N12-M12</f>
        <v/>
      </c>
      <c r="O34" s="11">
        <f>O12-N12</f>
        <v/>
      </c>
    </row>
    <row r="35">
      <c r="A35" s="7">
        <f>A13</f>
        <v/>
      </c>
      <c r="D35" s="12">
        <f>D13-C13</f>
        <v/>
      </c>
      <c r="E35" s="12">
        <f>E13-D13</f>
        <v/>
      </c>
      <c r="F35" s="12">
        <f>F13-E13</f>
        <v/>
      </c>
      <c r="G35" s="12">
        <f>G13-F13</f>
        <v/>
      </c>
      <c r="H35" s="12">
        <f>H13-G13</f>
        <v/>
      </c>
      <c r="I35" s="12">
        <f>I13-H13</f>
        <v/>
      </c>
      <c r="J35" s="12">
        <f>J13-I13</f>
        <v/>
      </c>
      <c r="K35" s="12">
        <f>K13-J13</f>
        <v/>
      </c>
      <c r="L35" s="12">
        <f>L13-K13</f>
        <v/>
      </c>
      <c r="M35" s="12">
        <f>M13-L13</f>
        <v/>
      </c>
      <c r="N35" s="12">
        <f>N13-M13</f>
        <v/>
      </c>
      <c r="O35" s="12">
        <f>O13-N13</f>
        <v/>
      </c>
    </row>
    <row r="37">
      <c r="A37" s="3" t="inlineStr">
        <is>
          <t>Último mês vs 09/25</t>
        </is>
      </c>
      <c r="B37" s="3" t="inlineStr"/>
      <c r="C37" s="3" t="inlineStr">
        <is>
          <t>Var. a/a</t>
        </is>
      </c>
      <c r="D37" s="3" t="inlineStr">
        <is>
          <t>Δ share (p.p.)</t>
        </is>
      </c>
    </row>
    <row r="38">
      <c r="A38" s="5">
        <f>A5</f>
        <v/>
      </c>
      <c r="C38" s="13">
        <f>IF(C5=0,0,O5/C5-1)</f>
        <v/>
      </c>
      <c r="D38" s="14">
        <f>(O16-C16)*100</f>
        <v/>
      </c>
    </row>
    <row r="39">
      <c r="A39" s="5">
        <f>A6</f>
        <v/>
      </c>
      <c r="C39" s="13">
        <f>IF(C6=0,0,O6/C6-1)</f>
        <v/>
      </c>
      <c r="D39" s="14">
        <f>(O17-C17)*100</f>
        <v/>
      </c>
    </row>
    <row r="40">
      <c r="A40" s="5">
        <f>A7</f>
        <v/>
      </c>
      <c r="C40" s="13">
        <f>IF(C7=0,0,O7/C7-1)</f>
        <v/>
      </c>
      <c r="D40" s="14">
        <f>(O18-C18)*100</f>
        <v/>
      </c>
    </row>
    <row r="41">
      <c r="A41" s="5">
        <f>A8</f>
        <v/>
      </c>
      <c r="C41" s="13">
        <f>IF(C8=0,0,O8/C8-1)</f>
        <v/>
      </c>
      <c r="D41" s="14">
        <f>(O19-C19)*100</f>
        <v/>
      </c>
    </row>
    <row r="42">
      <c r="A42" s="5">
        <f>A9</f>
        <v/>
      </c>
      <c r="C42" s="13">
        <f>IF(C9=0,0,O9/C9-1)</f>
        <v/>
      </c>
      <c r="D42" s="14">
        <f>(O20-C20)*100</f>
        <v/>
      </c>
    </row>
    <row r="43">
      <c r="A43" s="5">
        <f>A10</f>
        <v/>
      </c>
      <c r="C43" s="13">
        <f>IF(C10=0,0,O10/C10-1)</f>
        <v/>
      </c>
      <c r="D43" s="14">
        <f>(O21-C21)*100</f>
        <v/>
      </c>
    </row>
    <row r="44">
      <c r="A44" s="5">
        <f>A11</f>
        <v/>
      </c>
      <c r="C44" s="13">
        <f>IF(C11=0,0,O11/C11-1)</f>
        <v/>
      </c>
      <c r="D44" s="14">
        <f>(O22-C22)*100</f>
        <v/>
      </c>
    </row>
    <row r="45">
      <c r="A45" s="5">
        <f>A12</f>
        <v/>
      </c>
      <c r="C45" s="13">
        <f>IF(C12=0,0,O12/C12-1)</f>
        <v/>
      </c>
      <c r="D45" s="14">
        <f>(O23-C23)*100</f>
        <v/>
      </c>
    </row>
    <row r="46">
      <c r="A46" s="7">
        <f>A13</f>
        <v/>
      </c>
      <c r="C46" s="13">
        <f>IF(C13=0,0,O13/C13-1)</f>
        <v/>
      </c>
      <c r="D46" s="14">
        <f>(O24-C24)*100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Móvel 5G</t>
        </is>
      </c>
    </row>
    <row r="2">
      <c r="A2" s="2" t="inlineStr">
        <is>
          <t>Mesma base (sem M2M e ponto de serviço), só 'Tecnologia Geração' = 5G</t>
        </is>
      </c>
    </row>
    <row r="4">
      <c r="A4" s="3" t="inlineStr">
        <is>
          <t>Acessos</t>
        </is>
      </c>
      <c r="B4" s="3" t="inlineStr">
        <is>
          <t>Grupo (rótulo Anatel)</t>
        </is>
      </c>
      <c r="C4" s="4" t="inlineStr">
        <is>
          <t>09/25</t>
        </is>
      </c>
      <c r="D4" s="4" t="inlineStr">
        <is>
          <t>10/25</t>
        </is>
      </c>
      <c r="E4" s="4" t="inlineStr">
        <is>
          <t>11/25</t>
        </is>
      </c>
      <c r="F4" s="4" t="inlineStr">
        <is>
          <t>12/25</t>
        </is>
      </c>
      <c r="G4" s="4" t="inlineStr">
        <is>
          <t>01/26</t>
        </is>
      </c>
      <c r="H4" s="4" t="inlineStr">
        <is>
          <t>02/26</t>
        </is>
      </c>
      <c r="I4" s="4" t="inlineStr">
        <is>
          <t>03/26</t>
        </is>
      </c>
      <c r="J4" s="4" t="inlineStr">
        <is>
          <t>04/26</t>
        </is>
      </c>
      <c r="K4" s="4" t="inlineStr">
        <is>
          <t>05/26</t>
        </is>
      </c>
      <c r="L4" s="4" t="inlineStr">
        <is>
          <t>06/26</t>
        </is>
      </c>
      <c r="M4" s="4" t="inlineStr">
        <is>
          <t>07/26</t>
        </is>
      </c>
      <c r="N4" s="4" t="inlineStr">
        <is>
          <t>08/26</t>
        </is>
      </c>
      <c r="O4" s="4" t="inlineStr">
        <is>
          <t>09/26</t>
        </is>
      </c>
    </row>
    <row r="5">
      <c r="A5" s="5" t="inlineStr">
        <is>
          <t>Vivo</t>
        </is>
      </c>
      <c r="B5" s="2" t="inlineStr">
        <is>
          <t>TELEFONICA</t>
        </is>
      </c>
      <c r="C5" s="6" t="n">
        <v>21504730</v>
      </c>
      <c r="D5" s="6" t="n">
        <v>22093553</v>
      </c>
      <c r="E5" s="6" t="n">
        <v>22589546</v>
      </c>
      <c r="F5" s="6" t="n">
        <v>23179311</v>
      </c>
      <c r="G5" s="6" t="n">
        <v>24115993</v>
      </c>
      <c r="H5" s="6" t="n">
        <v>24562176</v>
      </c>
      <c r="I5" s="6" t="n">
        <v>25202849</v>
      </c>
      <c r="J5" s="6" t="n">
        <v>25778009</v>
      </c>
      <c r="K5" s="6" t="n">
        <v>26358179</v>
      </c>
      <c r="L5" s="6" t="n">
        <v>26731692</v>
      </c>
      <c r="M5" s="6" t="n">
        <v>27191456</v>
      </c>
      <c r="N5" s="6" t="n">
        <v>27323411</v>
      </c>
      <c r="O5" s="6" t="n">
        <v>28807700</v>
      </c>
    </row>
    <row r="6">
      <c r="A6" s="5" t="inlineStr">
        <is>
          <t>Claro</t>
        </is>
      </c>
      <c r="B6" s="2" t="inlineStr">
        <is>
          <t>TELECOM AMERICAS</t>
        </is>
      </c>
      <c r="C6" s="6" t="n">
        <v>18840417</v>
      </c>
      <c r="D6" s="6" t="n">
        <v>19419884</v>
      </c>
      <c r="E6" s="6" t="n">
        <v>20046550</v>
      </c>
      <c r="F6" s="6" t="n">
        <v>20685274</v>
      </c>
      <c r="G6" s="6" t="n">
        <v>21329456</v>
      </c>
      <c r="H6" s="6" t="n">
        <v>21906260</v>
      </c>
      <c r="I6" s="6" t="n">
        <v>22579343</v>
      </c>
      <c r="J6" s="6" t="n">
        <v>22976010</v>
      </c>
      <c r="K6" s="6" t="n">
        <v>23770420</v>
      </c>
      <c r="L6" s="6" t="n">
        <v>24304485</v>
      </c>
      <c r="M6" s="6" t="n">
        <v>24884401</v>
      </c>
      <c r="N6" s="6" t="n">
        <v>25435148</v>
      </c>
      <c r="O6" s="6" t="n">
        <v>25928548</v>
      </c>
    </row>
    <row r="7">
      <c r="A7" s="5" t="inlineStr">
        <is>
          <t>TIM</t>
        </is>
      </c>
      <c r="B7" s="2" t="inlineStr">
        <is>
          <t>TELECOM ITALIA</t>
        </is>
      </c>
      <c r="C7" s="6" t="n">
        <v>12654237</v>
      </c>
      <c r="D7" s="6" t="n">
        <v>13177191</v>
      </c>
      <c r="E7" s="6" t="n">
        <v>13641174</v>
      </c>
      <c r="F7" s="6" t="n">
        <v>13886528</v>
      </c>
      <c r="G7" s="6" t="n">
        <v>14126559</v>
      </c>
      <c r="H7" s="6" t="n">
        <v>14274437</v>
      </c>
      <c r="I7" s="6" t="n">
        <v>14940901</v>
      </c>
      <c r="J7" s="6" t="n">
        <v>15162219</v>
      </c>
      <c r="K7" s="6" t="n">
        <v>15396134</v>
      </c>
      <c r="L7" s="6" t="n">
        <v>15593383</v>
      </c>
      <c r="M7" s="6" t="n">
        <v>15823144</v>
      </c>
      <c r="N7" s="6" t="n">
        <v>16006041</v>
      </c>
      <c r="O7" s="6" t="n">
        <v>16143244</v>
      </c>
    </row>
    <row r="8">
      <c r="A8" s="5" t="inlineStr">
        <is>
          <t>Vero</t>
        </is>
      </c>
      <c r="B8" s="2" t="inlineStr">
        <is>
          <t>VERO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384155</v>
      </c>
      <c r="N8" s="6" t="n">
        <v>397708</v>
      </c>
      <c r="O8" s="6" t="n">
        <v>419734</v>
      </c>
    </row>
    <row r="9">
      <c r="A9" s="5" t="inlineStr">
        <is>
          <t>Unifique</t>
        </is>
      </c>
      <c r="B9" s="2" t="inlineStr">
        <is>
          <t>UNIFIQUE</t>
        </is>
      </c>
      <c r="C9" s="6" t="n">
        <v>211204</v>
      </c>
      <c r="D9" s="6" t="n">
        <v>225607</v>
      </c>
      <c r="E9" s="6" t="n">
        <v>238052</v>
      </c>
      <c r="F9" s="6" t="n">
        <v>247752</v>
      </c>
      <c r="G9" s="6" t="n">
        <v>261082</v>
      </c>
      <c r="H9" s="6" t="n">
        <v>272882</v>
      </c>
      <c r="I9" s="6" t="n">
        <v>287805</v>
      </c>
      <c r="J9" s="6" t="n">
        <v>301533</v>
      </c>
      <c r="K9" s="6" t="n">
        <v>316404</v>
      </c>
      <c r="L9" s="6" t="n">
        <v>337421</v>
      </c>
      <c r="M9" s="6" t="n">
        <v>353273</v>
      </c>
      <c r="N9" s="6" t="n">
        <v>367605</v>
      </c>
      <c r="O9" s="6" t="n">
        <v>381167</v>
      </c>
    </row>
    <row r="10">
      <c r="A10" s="5" t="inlineStr">
        <is>
          <t>Brisanet</t>
        </is>
      </c>
      <c r="B10" s="2" t="inlineStr">
        <is>
          <t>BRISANET</t>
        </is>
      </c>
      <c r="C10" s="6" t="n">
        <v>113564</v>
      </c>
      <c r="D10" s="6" t="n">
        <v>124502</v>
      </c>
      <c r="E10" s="6" t="n">
        <v>135553</v>
      </c>
      <c r="F10" s="6" t="n">
        <v>145268</v>
      </c>
      <c r="G10" s="6" t="n">
        <v>154529</v>
      </c>
      <c r="H10" s="6" t="n">
        <v>164572</v>
      </c>
      <c r="I10" s="6" t="n">
        <v>177208</v>
      </c>
      <c r="J10" s="6" t="n">
        <v>192620</v>
      </c>
      <c r="K10" s="6" t="n">
        <v>191944</v>
      </c>
      <c r="L10" s="6" t="n">
        <v>186620</v>
      </c>
      <c r="M10" s="6" t="n">
        <v>180006</v>
      </c>
      <c r="N10" s="6" t="n">
        <v>173519</v>
      </c>
      <c r="O10" s="6" t="n">
        <v>167748</v>
      </c>
    </row>
    <row r="11">
      <c r="A11" s="7" t="inlineStr">
        <is>
          <t>Total</t>
        </is>
      </c>
      <c r="C11" s="8">
        <f>SUM(C5:C10)</f>
        <v/>
      </c>
      <c r="D11" s="8">
        <f>SUM(D5:D10)</f>
        <v/>
      </c>
      <c r="E11" s="8">
        <f>SUM(E5:E10)</f>
        <v/>
      </c>
      <c r="F11" s="8">
        <f>SUM(F5:F10)</f>
        <v/>
      </c>
      <c r="G11" s="8">
        <f>SUM(G5:G10)</f>
        <v/>
      </c>
      <c r="H11" s="8">
        <f>SUM(H5:H10)</f>
        <v/>
      </c>
      <c r="I11" s="8">
        <f>SUM(I5:I10)</f>
        <v/>
      </c>
      <c r="J11" s="8">
        <f>SUM(J5:J10)</f>
        <v/>
      </c>
      <c r="K11" s="8">
        <f>SUM(K5:K10)</f>
        <v/>
      </c>
      <c r="L11" s="8">
        <f>SUM(L5:L10)</f>
        <v/>
      </c>
      <c r="M11" s="8">
        <f>SUM(M5:M10)</f>
        <v/>
      </c>
      <c r="N11" s="8">
        <f>SUM(N5:N10)</f>
        <v/>
      </c>
      <c r="O11" s="8">
        <f>SUM(O5:O10)</f>
        <v/>
      </c>
    </row>
    <row r="13">
      <c r="A13" s="3" t="inlineStr">
        <is>
          <t>Market share</t>
        </is>
      </c>
      <c r="B13" s="3" t="inlineStr">
        <is>
          <t>Grupo (rótulo Anatel)</t>
        </is>
      </c>
      <c r="C13" s="4" t="inlineStr">
        <is>
          <t>09/25</t>
        </is>
      </c>
      <c r="D13" s="4" t="inlineStr">
        <is>
          <t>10/25</t>
        </is>
      </c>
      <c r="E13" s="4" t="inlineStr">
        <is>
          <t>11/25</t>
        </is>
      </c>
      <c r="F13" s="4" t="inlineStr">
        <is>
          <t>12/25</t>
        </is>
      </c>
      <c r="G13" s="4" t="inlineStr">
        <is>
          <t>01/26</t>
        </is>
      </c>
      <c r="H13" s="4" t="inlineStr">
        <is>
          <t>02/26</t>
        </is>
      </c>
      <c r="I13" s="4" t="inlineStr">
        <is>
          <t>03/26</t>
        </is>
      </c>
      <c r="J13" s="4" t="inlineStr">
        <is>
          <t>04/26</t>
        </is>
      </c>
      <c r="K13" s="4" t="inlineStr">
        <is>
          <t>05/26</t>
        </is>
      </c>
      <c r="L13" s="4" t="inlineStr">
        <is>
          <t>06/26</t>
        </is>
      </c>
      <c r="M13" s="4" t="inlineStr">
        <is>
          <t>07/26</t>
        </is>
      </c>
      <c r="N13" s="4" t="inlineStr">
        <is>
          <t>08/26</t>
        </is>
      </c>
      <c r="O13" s="4" t="inlineStr">
        <is>
          <t>09/26</t>
        </is>
      </c>
    </row>
    <row r="14">
      <c r="A14" s="5">
        <f>A5</f>
        <v/>
      </c>
      <c r="B14" s="2">
        <f>B5</f>
        <v/>
      </c>
      <c r="C14" s="9">
        <f>IF(C$11=0,0,C5/C$11)</f>
        <v/>
      </c>
      <c r="D14" s="9">
        <f>IF(D$11=0,0,D5/D$11)</f>
        <v/>
      </c>
      <c r="E14" s="9">
        <f>IF(E$11=0,0,E5/E$11)</f>
        <v/>
      </c>
      <c r="F14" s="9">
        <f>IF(F$11=0,0,F5/F$11)</f>
        <v/>
      </c>
      <c r="G14" s="9">
        <f>IF(G$11=0,0,G5/G$11)</f>
        <v/>
      </c>
      <c r="H14" s="9">
        <f>IF(H$11=0,0,H5/H$11)</f>
        <v/>
      </c>
      <c r="I14" s="9">
        <f>IF(I$11=0,0,I5/I$11)</f>
        <v/>
      </c>
      <c r="J14" s="9">
        <f>IF(J$11=0,0,J5/J$11)</f>
        <v/>
      </c>
      <c r="K14" s="9">
        <f>IF(K$11=0,0,K5/K$11)</f>
        <v/>
      </c>
      <c r="L14" s="9">
        <f>IF(L$11=0,0,L5/L$11)</f>
        <v/>
      </c>
      <c r="M14" s="9">
        <f>IF(M$11=0,0,M5/M$11)</f>
        <v/>
      </c>
      <c r="N14" s="9">
        <f>IF(N$11=0,0,N5/N$11)</f>
        <v/>
      </c>
      <c r="O14" s="9">
        <f>IF(O$11=0,0,O5/O$11)</f>
        <v/>
      </c>
    </row>
    <row r="15">
      <c r="A15" s="5">
        <f>A6</f>
        <v/>
      </c>
      <c r="B15" s="2">
        <f>B6</f>
        <v/>
      </c>
      <c r="C15" s="9">
        <f>IF(C$11=0,0,C6/C$11)</f>
        <v/>
      </c>
      <c r="D15" s="9">
        <f>IF(D$11=0,0,D6/D$11)</f>
        <v/>
      </c>
      <c r="E15" s="9">
        <f>IF(E$11=0,0,E6/E$11)</f>
        <v/>
      </c>
      <c r="F15" s="9">
        <f>IF(F$11=0,0,F6/F$11)</f>
        <v/>
      </c>
      <c r="G15" s="9">
        <f>IF(G$11=0,0,G6/G$11)</f>
        <v/>
      </c>
      <c r="H15" s="9">
        <f>IF(H$11=0,0,H6/H$11)</f>
        <v/>
      </c>
      <c r="I15" s="9">
        <f>IF(I$11=0,0,I6/I$11)</f>
        <v/>
      </c>
      <c r="J15" s="9">
        <f>IF(J$11=0,0,J6/J$11)</f>
        <v/>
      </c>
      <c r="K15" s="9">
        <f>IF(K$11=0,0,K6/K$11)</f>
        <v/>
      </c>
      <c r="L15" s="9">
        <f>IF(L$11=0,0,L6/L$11)</f>
        <v/>
      </c>
      <c r="M15" s="9">
        <f>IF(M$11=0,0,M6/M$11)</f>
        <v/>
      </c>
      <c r="N15" s="9">
        <f>IF(N$11=0,0,N6/N$11)</f>
        <v/>
      </c>
      <c r="O15" s="9">
        <f>IF(O$11=0,0,O6/O$11)</f>
        <v/>
      </c>
    </row>
    <row r="16">
      <c r="A16" s="5">
        <f>A7</f>
        <v/>
      </c>
      <c r="B16" s="2">
        <f>B7</f>
        <v/>
      </c>
      <c r="C16" s="9">
        <f>IF(C$11=0,0,C7/C$11)</f>
        <v/>
      </c>
      <c r="D16" s="9">
        <f>IF(D$11=0,0,D7/D$11)</f>
        <v/>
      </c>
      <c r="E16" s="9">
        <f>IF(E$11=0,0,E7/E$11)</f>
        <v/>
      </c>
      <c r="F16" s="9">
        <f>IF(F$11=0,0,F7/F$11)</f>
        <v/>
      </c>
      <c r="G16" s="9">
        <f>IF(G$11=0,0,G7/G$11)</f>
        <v/>
      </c>
      <c r="H16" s="9">
        <f>IF(H$11=0,0,H7/H$11)</f>
        <v/>
      </c>
      <c r="I16" s="9">
        <f>IF(I$11=0,0,I7/I$11)</f>
        <v/>
      </c>
      <c r="J16" s="9">
        <f>IF(J$11=0,0,J7/J$11)</f>
        <v/>
      </c>
      <c r="K16" s="9">
        <f>IF(K$11=0,0,K7/K$11)</f>
        <v/>
      </c>
      <c r="L16" s="9">
        <f>IF(L$11=0,0,L7/L$11)</f>
        <v/>
      </c>
      <c r="M16" s="9">
        <f>IF(M$11=0,0,M7/M$11)</f>
        <v/>
      </c>
      <c r="N16" s="9">
        <f>IF(N$11=0,0,N7/N$11)</f>
        <v/>
      </c>
      <c r="O16" s="9">
        <f>IF(O$11=0,0,O7/O$11)</f>
        <v/>
      </c>
    </row>
    <row r="17">
      <c r="A17" s="5">
        <f>A8</f>
        <v/>
      </c>
      <c r="B17" s="2">
        <f>B8</f>
        <v/>
      </c>
      <c r="C17" s="9">
        <f>IF(C$11=0,0,C8/C$11)</f>
        <v/>
      </c>
      <c r="D17" s="9">
        <f>IF(D$11=0,0,D8/D$11)</f>
        <v/>
      </c>
      <c r="E17" s="9">
        <f>IF(E$11=0,0,E8/E$11)</f>
        <v/>
      </c>
      <c r="F17" s="9">
        <f>IF(F$11=0,0,F8/F$11)</f>
        <v/>
      </c>
      <c r="G17" s="9">
        <f>IF(G$11=0,0,G8/G$11)</f>
        <v/>
      </c>
      <c r="H17" s="9">
        <f>IF(H$11=0,0,H8/H$11)</f>
        <v/>
      </c>
      <c r="I17" s="9">
        <f>IF(I$11=0,0,I8/I$11)</f>
        <v/>
      </c>
      <c r="J17" s="9">
        <f>IF(J$11=0,0,J8/J$11)</f>
        <v/>
      </c>
      <c r="K17" s="9">
        <f>IF(K$11=0,0,K8/K$11)</f>
        <v/>
      </c>
      <c r="L17" s="9">
        <f>IF(L$11=0,0,L8/L$11)</f>
        <v/>
      </c>
      <c r="M17" s="9">
        <f>IF(M$11=0,0,M8/M$11)</f>
        <v/>
      </c>
      <c r="N17" s="9">
        <f>IF(N$11=0,0,N8/N$11)</f>
        <v/>
      </c>
      <c r="O17" s="9">
        <f>IF(O$11=0,0,O8/O$11)</f>
        <v/>
      </c>
    </row>
    <row r="18">
      <c r="A18" s="5">
        <f>A9</f>
        <v/>
      </c>
      <c r="B18" s="2">
        <f>B9</f>
        <v/>
      </c>
      <c r="C18" s="9">
        <f>IF(C$11=0,0,C9/C$11)</f>
        <v/>
      </c>
      <c r="D18" s="9">
        <f>IF(D$11=0,0,D9/D$11)</f>
        <v/>
      </c>
      <c r="E18" s="9">
        <f>IF(E$11=0,0,E9/E$11)</f>
        <v/>
      </c>
      <c r="F18" s="9">
        <f>IF(F$11=0,0,F9/F$11)</f>
        <v/>
      </c>
      <c r="G18" s="9">
        <f>IF(G$11=0,0,G9/G$11)</f>
        <v/>
      </c>
      <c r="H18" s="9">
        <f>IF(H$11=0,0,H9/H$11)</f>
        <v/>
      </c>
      <c r="I18" s="9">
        <f>IF(I$11=0,0,I9/I$11)</f>
        <v/>
      </c>
      <c r="J18" s="9">
        <f>IF(J$11=0,0,J9/J$11)</f>
        <v/>
      </c>
      <c r="K18" s="9">
        <f>IF(K$11=0,0,K9/K$11)</f>
        <v/>
      </c>
      <c r="L18" s="9">
        <f>IF(L$11=0,0,L9/L$11)</f>
        <v/>
      </c>
      <c r="M18" s="9">
        <f>IF(M$11=0,0,M9/M$11)</f>
        <v/>
      </c>
      <c r="N18" s="9">
        <f>IF(N$11=0,0,N9/N$11)</f>
        <v/>
      </c>
      <c r="O18" s="9">
        <f>IF(O$11=0,0,O9/O$11)</f>
        <v/>
      </c>
    </row>
    <row r="19">
      <c r="A19" s="5">
        <f>A10</f>
        <v/>
      </c>
      <c r="B19" s="2">
        <f>B10</f>
        <v/>
      </c>
      <c r="C19" s="9">
        <f>IF(C$11=0,0,C10/C$11)</f>
        <v/>
      </c>
      <c r="D19" s="9">
        <f>IF(D$11=0,0,D10/D$11)</f>
        <v/>
      </c>
      <c r="E19" s="9">
        <f>IF(E$11=0,0,E10/E$11)</f>
        <v/>
      </c>
      <c r="F19" s="9">
        <f>IF(F$11=0,0,F10/F$11)</f>
        <v/>
      </c>
      <c r="G19" s="9">
        <f>IF(G$11=0,0,G10/G$11)</f>
        <v/>
      </c>
      <c r="H19" s="9">
        <f>IF(H$11=0,0,H10/H$11)</f>
        <v/>
      </c>
      <c r="I19" s="9">
        <f>IF(I$11=0,0,I10/I$11)</f>
        <v/>
      </c>
      <c r="J19" s="9">
        <f>IF(J$11=0,0,J10/J$11)</f>
        <v/>
      </c>
      <c r="K19" s="9">
        <f>IF(K$11=0,0,K10/K$11)</f>
        <v/>
      </c>
      <c r="L19" s="9">
        <f>IF(L$11=0,0,L10/L$11)</f>
        <v/>
      </c>
      <c r="M19" s="9">
        <f>IF(M$11=0,0,M10/M$11)</f>
        <v/>
      </c>
      <c r="N19" s="9">
        <f>IF(N$11=0,0,N10/N$11)</f>
        <v/>
      </c>
      <c r="O19" s="9">
        <f>IF(O$11=0,0,O10/O$11)</f>
        <v/>
      </c>
    </row>
    <row r="20">
      <c r="A20" s="7">
        <f>A11</f>
        <v/>
      </c>
      <c r="C20" s="10">
        <f>IF(C$11=0,0,C11/C$11)</f>
        <v/>
      </c>
      <c r="D20" s="10">
        <f>IF(D$11=0,0,D11/D$11)</f>
        <v/>
      </c>
      <c r="E20" s="10">
        <f>IF(E$11=0,0,E11/E$11)</f>
        <v/>
      </c>
      <c r="F20" s="10">
        <f>IF(F$11=0,0,F11/F$11)</f>
        <v/>
      </c>
      <c r="G20" s="10">
        <f>IF(G$11=0,0,G11/G$11)</f>
        <v/>
      </c>
      <c r="H20" s="10">
        <f>IF(H$11=0,0,H11/H$11)</f>
        <v/>
      </c>
      <c r="I20" s="10">
        <f>IF(I$11=0,0,I11/I$11)</f>
        <v/>
      </c>
      <c r="J20" s="10">
        <f>IF(J$11=0,0,J11/J$11)</f>
        <v/>
      </c>
      <c r="K20" s="10">
        <f>IF(K$11=0,0,K11/K$11)</f>
        <v/>
      </c>
      <c r="L20" s="10">
        <f>IF(L$11=0,0,L11/L$11)</f>
        <v/>
      </c>
      <c r="M20" s="10">
        <f>IF(M$11=0,0,M11/M$11)</f>
        <v/>
      </c>
      <c r="N20" s="10">
        <f>IF(N$11=0,0,N11/N$11)</f>
        <v/>
      </c>
      <c r="O20" s="10">
        <f>IF(O$11=0,0,O11/O$11)</f>
        <v/>
      </c>
    </row>
    <row r="22">
      <c r="A22" s="3" t="inlineStr">
        <is>
          <t>Adições líquidas (m/m)</t>
        </is>
      </c>
      <c r="B22" s="3" t="inlineStr">
        <is>
          <t>Grupo (rótulo Anatel)</t>
        </is>
      </c>
      <c r="C22" s="4" t="inlineStr">
        <is>
          <t>09/25</t>
        </is>
      </c>
      <c r="D22" s="4" t="inlineStr">
        <is>
          <t>10/25</t>
        </is>
      </c>
      <c r="E22" s="4" t="inlineStr">
        <is>
          <t>11/25</t>
        </is>
      </c>
      <c r="F22" s="4" t="inlineStr">
        <is>
          <t>12/25</t>
        </is>
      </c>
      <c r="G22" s="4" t="inlineStr">
        <is>
          <t>01/26</t>
        </is>
      </c>
      <c r="H22" s="4" t="inlineStr">
        <is>
          <t>02/26</t>
        </is>
      </c>
      <c r="I22" s="4" t="inlineStr">
        <is>
          <t>03/26</t>
        </is>
      </c>
      <c r="J22" s="4" t="inlineStr">
        <is>
          <t>04/26</t>
        </is>
      </c>
      <c r="K22" s="4" t="inlineStr">
        <is>
          <t>05/26</t>
        </is>
      </c>
      <c r="L22" s="4" t="inlineStr">
        <is>
          <t>06/26</t>
        </is>
      </c>
      <c r="M22" s="4" t="inlineStr">
        <is>
          <t>07/26</t>
        </is>
      </c>
      <c r="N22" s="4" t="inlineStr">
        <is>
          <t>08/26</t>
        </is>
      </c>
      <c r="O22" s="4" t="inlineStr">
        <is>
          <t>09/26</t>
        </is>
      </c>
    </row>
    <row r="23">
      <c r="A23" s="5">
        <f>A5</f>
        <v/>
      </c>
      <c r="B23" s="2">
        <f>B5</f>
        <v/>
      </c>
      <c r="D23" s="11">
        <f>D5-C5</f>
        <v/>
      </c>
      <c r="E23" s="11">
        <f>E5-D5</f>
        <v/>
      </c>
      <c r="F23" s="11">
        <f>F5-E5</f>
        <v/>
      </c>
      <c r="G23" s="11">
        <f>G5-F5</f>
        <v/>
      </c>
      <c r="H23" s="11">
        <f>H5-G5</f>
        <v/>
      </c>
      <c r="I23" s="11">
        <f>I5-H5</f>
        <v/>
      </c>
      <c r="J23" s="11">
        <f>J5-I5</f>
        <v/>
      </c>
      <c r="K23" s="11">
        <f>K5-J5</f>
        <v/>
      </c>
      <c r="L23" s="11">
        <f>L5-K5</f>
        <v/>
      </c>
      <c r="M23" s="11">
        <f>M5-L5</f>
        <v/>
      </c>
      <c r="N23" s="11">
        <f>N5-M5</f>
        <v/>
      </c>
      <c r="O23" s="11">
        <f>O5-N5</f>
        <v/>
      </c>
    </row>
    <row r="24">
      <c r="A24" s="5">
        <f>A6</f>
        <v/>
      </c>
      <c r="B24" s="2">
        <f>B6</f>
        <v/>
      </c>
      <c r="D24" s="11">
        <f>D6-C6</f>
        <v/>
      </c>
      <c r="E24" s="11">
        <f>E6-D6</f>
        <v/>
      </c>
      <c r="F24" s="11">
        <f>F6-E6</f>
        <v/>
      </c>
      <c r="G24" s="11">
        <f>G6-F6</f>
        <v/>
      </c>
      <c r="H24" s="11">
        <f>H6-G6</f>
        <v/>
      </c>
      <c r="I24" s="11">
        <f>I6-H6</f>
        <v/>
      </c>
      <c r="J24" s="11">
        <f>J6-I6</f>
        <v/>
      </c>
      <c r="K24" s="11">
        <f>K6-J6</f>
        <v/>
      </c>
      <c r="L24" s="11">
        <f>L6-K6</f>
        <v/>
      </c>
      <c r="M24" s="11">
        <f>M6-L6</f>
        <v/>
      </c>
      <c r="N24" s="11">
        <f>N6-M6</f>
        <v/>
      </c>
      <c r="O24" s="11">
        <f>O6-N6</f>
        <v/>
      </c>
    </row>
    <row r="25">
      <c r="A25" s="5">
        <f>A7</f>
        <v/>
      </c>
      <c r="B25" s="2">
        <f>B7</f>
        <v/>
      </c>
      <c r="D25" s="11">
        <f>D7-C7</f>
        <v/>
      </c>
      <c r="E25" s="11">
        <f>E7-D7</f>
        <v/>
      </c>
      <c r="F25" s="11">
        <f>F7-E7</f>
        <v/>
      </c>
      <c r="G25" s="11">
        <f>G7-F7</f>
        <v/>
      </c>
      <c r="H25" s="11">
        <f>H7-G7</f>
        <v/>
      </c>
      <c r="I25" s="11">
        <f>I7-H7</f>
        <v/>
      </c>
      <c r="J25" s="11">
        <f>J7-I7</f>
        <v/>
      </c>
      <c r="K25" s="11">
        <f>K7-J7</f>
        <v/>
      </c>
      <c r="L25" s="11">
        <f>L7-K7</f>
        <v/>
      </c>
      <c r="M25" s="11">
        <f>M7-L7</f>
        <v/>
      </c>
      <c r="N25" s="11">
        <f>N7-M7</f>
        <v/>
      </c>
      <c r="O25" s="11">
        <f>O7-N7</f>
        <v/>
      </c>
    </row>
    <row r="26">
      <c r="A26" s="5">
        <f>A8</f>
        <v/>
      </c>
      <c r="B26" s="2">
        <f>B8</f>
        <v/>
      </c>
      <c r="D26" s="11">
        <f>D8-C8</f>
        <v/>
      </c>
      <c r="E26" s="11">
        <f>E8-D8</f>
        <v/>
      </c>
      <c r="F26" s="11">
        <f>F8-E8</f>
        <v/>
      </c>
      <c r="G26" s="11">
        <f>G8-F8</f>
        <v/>
      </c>
      <c r="H26" s="11">
        <f>H8-G8</f>
        <v/>
      </c>
      <c r="I26" s="11">
        <f>I8-H8</f>
        <v/>
      </c>
      <c r="J26" s="11">
        <f>J8-I8</f>
        <v/>
      </c>
      <c r="K26" s="11">
        <f>K8-J8</f>
        <v/>
      </c>
      <c r="L26" s="11">
        <f>L8-K8</f>
        <v/>
      </c>
      <c r="M26" s="11">
        <f>M8-L8</f>
        <v/>
      </c>
      <c r="N26" s="11">
        <f>N8-M8</f>
        <v/>
      </c>
      <c r="O26" s="11">
        <f>O8-N8</f>
        <v/>
      </c>
    </row>
    <row r="27">
      <c r="A27" s="5">
        <f>A9</f>
        <v/>
      </c>
      <c r="B27" s="2">
        <f>B9</f>
        <v/>
      </c>
      <c r="D27" s="11">
        <f>D9-C9</f>
        <v/>
      </c>
      <c r="E27" s="11">
        <f>E9-D9</f>
        <v/>
      </c>
      <c r="F27" s="11">
        <f>F9-E9</f>
        <v/>
      </c>
      <c r="G27" s="11">
        <f>G9-F9</f>
        <v/>
      </c>
      <c r="H27" s="11">
        <f>H9-G9</f>
        <v/>
      </c>
      <c r="I27" s="11">
        <f>I9-H9</f>
        <v/>
      </c>
      <c r="J27" s="11">
        <f>J9-I9</f>
        <v/>
      </c>
      <c r="K27" s="11">
        <f>K9-J9</f>
        <v/>
      </c>
      <c r="L27" s="11">
        <f>L9-K9</f>
        <v/>
      </c>
      <c r="M27" s="11">
        <f>M9-L9</f>
        <v/>
      </c>
      <c r="N27" s="11">
        <f>N9-M9</f>
        <v/>
      </c>
      <c r="O27" s="11">
        <f>O9-N9</f>
        <v/>
      </c>
    </row>
    <row r="28">
      <c r="A28" s="5">
        <f>A10</f>
        <v/>
      </c>
      <c r="B28" s="2">
        <f>B10</f>
        <v/>
      </c>
      <c r="D28" s="11">
        <f>D10-C10</f>
        <v/>
      </c>
      <c r="E28" s="11">
        <f>E10-D10</f>
        <v/>
      </c>
      <c r="F28" s="11">
        <f>F10-E10</f>
        <v/>
      </c>
      <c r="G28" s="11">
        <f>G10-F10</f>
        <v/>
      </c>
      <c r="H28" s="11">
        <f>H10-G10</f>
        <v/>
      </c>
      <c r="I28" s="11">
        <f>I10-H10</f>
        <v/>
      </c>
      <c r="J28" s="11">
        <f>J10-I10</f>
        <v/>
      </c>
      <c r="K28" s="11">
        <f>K10-J10</f>
        <v/>
      </c>
      <c r="L28" s="11">
        <f>L10-K10</f>
        <v/>
      </c>
      <c r="M28" s="11">
        <f>M10-L10</f>
        <v/>
      </c>
      <c r="N28" s="11">
        <f>N10-M10</f>
        <v/>
      </c>
      <c r="O28" s="11">
        <f>O10-N10</f>
        <v/>
      </c>
    </row>
    <row r="29">
      <c r="A29" s="7">
        <f>A11</f>
        <v/>
      </c>
      <c r="D29" s="12">
        <f>D11-C11</f>
        <v/>
      </c>
      <c r="E29" s="12">
        <f>E11-D11</f>
        <v/>
      </c>
      <c r="F29" s="12">
        <f>F11-E11</f>
        <v/>
      </c>
      <c r="G29" s="12">
        <f>G11-F11</f>
        <v/>
      </c>
      <c r="H29" s="12">
        <f>H11-G11</f>
        <v/>
      </c>
      <c r="I29" s="12">
        <f>I11-H11</f>
        <v/>
      </c>
      <c r="J29" s="12">
        <f>J11-I11</f>
        <v/>
      </c>
      <c r="K29" s="12">
        <f>K11-J11</f>
        <v/>
      </c>
      <c r="L29" s="12">
        <f>L11-K11</f>
        <v/>
      </c>
      <c r="M29" s="12">
        <f>M11-L11</f>
        <v/>
      </c>
      <c r="N29" s="12">
        <f>N11-M11</f>
        <v/>
      </c>
      <c r="O29" s="12">
        <f>O11-N11</f>
        <v/>
      </c>
    </row>
    <row r="31">
      <c r="A31" s="3" t="inlineStr">
        <is>
          <t>Último mês vs 09/25</t>
        </is>
      </c>
      <c r="B31" s="3" t="inlineStr"/>
      <c r="C31" s="3" t="inlineStr">
        <is>
          <t>Var. a/a</t>
        </is>
      </c>
      <c r="D31" s="3" t="inlineStr">
        <is>
          <t>Δ share (p.p.)</t>
        </is>
      </c>
    </row>
    <row r="32">
      <c r="A32" s="5">
        <f>A5</f>
        <v/>
      </c>
      <c r="C32" s="13">
        <f>IF(C5=0,0,O5/C5-1)</f>
        <v/>
      </c>
      <c r="D32" s="14">
        <f>(O14-C14)*100</f>
        <v/>
      </c>
    </row>
    <row r="33">
      <c r="A33" s="5">
        <f>A6</f>
        <v/>
      </c>
      <c r="C33" s="13">
        <f>IF(C6=0,0,O6/C6-1)</f>
        <v/>
      </c>
      <c r="D33" s="14">
        <f>(O15-C15)*100</f>
        <v/>
      </c>
    </row>
    <row r="34">
      <c r="A34" s="5">
        <f>A7</f>
        <v/>
      </c>
      <c r="C34" s="13">
        <f>IF(C7=0,0,O7/C7-1)</f>
        <v/>
      </c>
      <c r="D34" s="14">
        <f>(O16-C16)*100</f>
        <v/>
      </c>
    </row>
    <row r="35">
      <c r="A35" s="5">
        <f>A8</f>
        <v/>
      </c>
      <c r="C35" s="13">
        <f>IF(C8=0,0,O8/C8-1)</f>
        <v/>
      </c>
      <c r="D35" s="14">
        <f>(O17-C17)*100</f>
        <v/>
      </c>
    </row>
    <row r="36">
      <c r="A36" s="5">
        <f>A9</f>
        <v/>
      </c>
      <c r="C36" s="13">
        <f>IF(C9=0,0,O9/C9-1)</f>
        <v/>
      </c>
      <c r="D36" s="14">
        <f>(O18-C18)*100</f>
        <v/>
      </c>
    </row>
    <row r="37">
      <c r="A37" s="5">
        <f>A10</f>
        <v/>
      </c>
      <c r="C37" s="13">
        <f>IF(C10=0,0,O10/C10-1)</f>
        <v/>
      </c>
      <c r="D37" s="14">
        <f>(O19-C19)*100</f>
        <v/>
      </c>
    </row>
    <row r="38">
      <c r="A38" s="7">
        <f>A11</f>
        <v/>
      </c>
      <c r="C38" s="13">
        <f>IF(C11=0,0,O11/C11-1)</f>
        <v/>
      </c>
      <c r="D38" s="14">
        <f>(O20-C20)*100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Móvel M2M</t>
        </is>
      </c>
    </row>
    <row r="2">
      <c r="A2" s="2" t="inlineStr">
        <is>
          <t>Só 'Tipo de Produto' = M2M (fora do total oficial)</t>
        </is>
      </c>
    </row>
    <row r="4">
      <c r="A4" s="3" t="inlineStr">
        <is>
          <t>Acessos</t>
        </is>
      </c>
      <c r="B4" s="3" t="inlineStr">
        <is>
          <t>Grupo (rótulo Anatel)</t>
        </is>
      </c>
      <c r="C4" s="4" t="inlineStr">
        <is>
          <t>09/25</t>
        </is>
      </c>
      <c r="D4" s="4" t="inlineStr">
        <is>
          <t>10/25</t>
        </is>
      </c>
      <c r="E4" s="4" t="inlineStr">
        <is>
          <t>11/25</t>
        </is>
      </c>
      <c r="F4" s="4" t="inlineStr">
        <is>
          <t>12/25</t>
        </is>
      </c>
      <c r="G4" s="4" t="inlineStr">
        <is>
          <t>01/26</t>
        </is>
      </c>
      <c r="H4" s="4" t="inlineStr">
        <is>
          <t>02/26</t>
        </is>
      </c>
      <c r="I4" s="4" t="inlineStr">
        <is>
          <t>03/26</t>
        </is>
      </c>
      <c r="J4" s="4" t="inlineStr">
        <is>
          <t>04/26</t>
        </is>
      </c>
      <c r="K4" s="4" t="inlineStr">
        <is>
          <t>05/26</t>
        </is>
      </c>
      <c r="L4" s="4" t="inlineStr">
        <is>
          <t>06/26</t>
        </is>
      </c>
      <c r="M4" s="4" t="inlineStr">
        <is>
          <t>07/26</t>
        </is>
      </c>
      <c r="N4" s="4" t="inlineStr">
        <is>
          <t>08/26</t>
        </is>
      </c>
      <c r="O4" s="4" t="inlineStr">
        <is>
          <t>09/26</t>
        </is>
      </c>
    </row>
    <row r="5">
      <c r="A5" s="5" t="inlineStr">
        <is>
          <t>Vivo</t>
        </is>
      </c>
      <c r="B5" s="2" t="inlineStr">
        <is>
          <t>TELEFONICA</t>
        </is>
      </c>
      <c r="C5" s="6" t="n">
        <v>8055788</v>
      </c>
      <c r="D5" s="6" t="n">
        <v>8172761</v>
      </c>
      <c r="E5" s="6" t="n">
        <v>8116947</v>
      </c>
      <c r="F5" s="6" t="n">
        <v>8178330</v>
      </c>
      <c r="G5" s="6" t="n">
        <v>8329445</v>
      </c>
      <c r="H5" s="6" t="n">
        <v>8348066</v>
      </c>
      <c r="I5" s="6" t="n">
        <v>8639275</v>
      </c>
      <c r="J5" s="6" t="n">
        <v>8932985</v>
      </c>
      <c r="K5" s="6" t="n">
        <v>9021567</v>
      </c>
      <c r="L5" s="6" t="n">
        <v>9218172</v>
      </c>
      <c r="M5" s="6" t="n">
        <v>9464571</v>
      </c>
      <c r="N5" s="6" t="n">
        <v>9579248</v>
      </c>
      <c r="O5" s="6" t="n">
        <v>9815027</v>
      </c>
    </row>
    <row r="6">
      <c r="A6" s="5" t="inlineStr">
        <is>
          <t>Claro</t>
        </is>
      </c>
      <c r="B6" s="2" t="inlineStr">
        <is>
          <t>TELECOM AMERICAS</t>
        </is>
      </c>
      <c r="C6" s="6" t="n">
        <v>7567408</v>
      </c>
      <c r="D6" s="6" t="n">
        <v>7669454</v>
      </c>
      <c r="E6" s="6" t="n">
        <v>7767070</v>
      </c>
      <c r="F6" s="6" t="n">
        <v>7828045</v>
      </c>
      <c r="G6" s="6" t="n">
        <v>7926980</v>
      </c>
      <c r="H6" s="6" t="n">
        <v>7904646</v>
      </c>
      <c r="I6" s="6" t="n">
        <v>7980004</v>
      </c>
      <c r="J6" s="6" t="n">
        <v>8054719</v>
      </c>
      <c r="K6" s="6" t="n">
        <v>8071538</v>
      </c>
      <c r="L6" s="6" t="n">
        <v>8278735</v>
      </c>
      <c r="M6" s="6" t="n">
        <v>8393048</v>
      </c>
      <c r="N6" s="6" t="n">
        <v>8553023</v>
      </c>
      <c r="O6" s="6" t="n">
        <v>8722963</v>
      </c>
    </row>
    <row r="7">
      <c r="A7" s="5" t="inlineStr">
        <is>
          <t>Datora</t>
        </is>
      </c>
      <c r="B7" s="2" t="inlineStr">
        <is>
          <t>DATORA</t>
        </is>
      </c>
      <c r="C7" s="6" t="n">
        <v>3150465</v>
      </c>
      <c r="D7" s="6" t="n">
        <v>3254624</v>
      </c>
      <c r="E7" s="6" t="n">
        <v>3359624</v>
      </c>
      <c r="F7" s="6" t="n">
        <v>3482624</v>
      </c>
      <c r="G7" s="6" t="n">
        <v>3534624</v>
      </c>
      <c r="H7" s="6" t="n">
        <v>3566624</v>
      </c>
      <c r="I7" s="6" t="n">
        <v>3607309</v>
      </c>
      <c r="J7" s="6" t="n">
        <v>3707814</v>
      </c>
      <c r="K7" s="6" t="n">
        <v>3796814</v>
      </c>
      <c r="L7" s="6" t="n">
        <v>4057051</v>
      </c>
      <c r="M7" s="6" t="n">
        <v>4573903</v>
      </c>
      <c r="N7" s="6" t="n">
        <v>4835445</v>
      </c>
      <c r="O7" s="6" t="n">
        <v>5177136</v>
      </c>
    </row>
    <row r="8">
      <c r="A8" s="5" t="inlineStr">
        <is>
          <t>TIM</t>
        </is>
      </c>
      <c r="B8" s="2" t="inlineStr">
        <is>
          <t>TELECOM ITALIA</t>
        </is>
      </c>
      <c r="C8" s="6" t="n">
        <v>3499433</v>
      </c>
      <c r="D8" s="6" t="n">
        <v>3483339</v>
      </c>
      <c r="E8" s="6" t="n">
        <v>3433651</v>
      </c>
      <c r="F8" s="6" t="n">
        <v>3539113</v>
      </c>
      <c r="G8" s="6" t="n">
        <v>3632513</v>
      </c>
      <c r="H8" s="6" t="n">
        <v>3653345</v>
      </c>
      <c r="I8" s="6" t="n">
        <v>3700313</v>
      </c>
      <c r="J8" s="6" t="n">
        <v>3741007</v>
      </c>
      <c r="K8" s="6" t="n">
        <v>3839499</v>
      </c>
      <c r="L8" s="6" t="n">
        <v>3932965</v>
      </c>
      <c r="M8" s="6" t="n">
        <v>3968224</v>
      </c>
      <c r="N8" s="6" t="n">
        <v>4129952</v>
      </c>
      <c r="O8" s="6" t="n">
        <v>4167993</v>
      </c>
    </row>
    <row r="9">
      <c r="A9" s="5" t="inlineStr">
        <is>
          <t>Outros</t>
        </is>
      </c>
      <c r="B9" s="2" t="inlineStr">
        <is>
          <t>OUTROS</t>
        </is>
      </c>
      <c r="C9" s="6" t="n">
        <v>2500461</v>
      </c>
      <c r="D9" s="6" t="n">
        <v>2522164</v>
      </c>
      <c r="E9" s="6" t="n">
        <v>2567511</v>
      </c>
      <c r="F9" s="6" t="n">
        <v>2663954</v>
      </c>
      <c r="G9" s="6" t="n">
        <v>2662205</v>
      </c>
      <c r="H9" s="6" t="n">
        <v>2690005</v>
      </c>
      <c r="I9" s="6" t="n">
        <v>3114527</v>
      </c>
      <c r="J9" s="6" t="n">
        <v>3119098</v>
      </c>
      <c r="K9" s="6" t="n">
        <v>3448514</v>
      </c>
      <c r="L9" s="6" t="n">
        <v>3561741</v>
      </c>
      <c r="M9" s="6" t="n">
        <v>3642137</v>
      </c>
      <c r="N9" s="6" t="n">
        <v>3712318</v>
      </c>
      <c r="O9" s="6" t="n">
        <v>3811278</v>
      </c>
    </row>
    <row r="10">
      <c r="A10" s="5" t="inlineStr">
        <is>
          <t>Algar</t>
        </is>
      </c>
      <c r="B10" s="2" t="inlineStr">
        <is>
          <t>ALGAR (CTBC TELECOM)</t>
        </is>
      </c>
      <c r="C10" s="6" t="n">
        <v>3053524</v>
      </c>
      <c r="D10" s="6" t="n">
        <v>3051184</v>
      </c>
      <c r="E10" s="6" t="n">
        <v>3220519</v>
      </c>
      <c r="F10" s="6" t="n">
        <v>3254571</v>
      </c>
      <c r="G10" s="6" t="n">
        <v>3303553</v>
      </c>
      <c r="H10" s="6" t="n">
        <v>3291229</v>
      </c>
      <c r="I10" s="6" t="n">
        <v>3419210</v>
      </c>
      <c r="J10" s="6" t="n">
        <v>3458535</v>
      </c>
      <c r="K10" s="6" t="n">
        <v>3509096</v>
      </c>
      <c r="L10" s="6" t="n">
        <v>3555488</v>
      </c>
      <c r="M10" s="6" t="n">
        <v>3583071</v>
      </c>
      <c r="N10" s="6" t="n">
        <v>3631018</v>
      </c>
      <c r="O10" s="6" t="n">
        <v>3742739</v>
      </c>
    </row>
    <row r="11">
      <c r="A11" s="5" t="inlineStr">
        <is>
          <t>Surf Telecom</t>
        </is>
      </c>
      <c r="B11" s="2" t="inlineStr">
        <is>
          <t>SURF TELECOM</t>
        </is>
      </c>
      <c r="C11" s="6" t="n">
        <v>1243256</v>
      </c>
      <c r="D11" s="6" t="n">
        <v>1258572</v>
      </c>
      <c r="E11" s="6" t="n">
        <v>1301773</v>
      </c>
      <c r="F11" s="6" t="n">
        <v>1320819</v>
      </c>
      <c r="G11" s="6" t="n">
        <v>1345479</v>
      </c>
      <c r="H11" s="6" t="n">
        <v>1374517</v>
      </c>
      <c r="I11" s="6" t="n">
        <v>1377992</v>
      </c>
      <c r="J11" s="6" t="n">
        <v>1380468</v>
      </c>
      <c r="K11" s="6" t="n">
        <v>1435441</v>
      </c>
      <c r="L11" s="6" t="n">
        <v>1440163</v>
      </c>
      <c r="M11" s="6" t="n">
        <v>1453645</v>
      </c>
      <c r="N11" s="6" t="n">
        <v>1695593</v>
      </c>
      <c r="O11" s="6" t="n">
        <v>1910000</v>
      </c>
    </row>
    <row r="12">
      <c r="A12" s="5" t="inlineStr">
        <is>
          <t>Unifique</t>
        </is>
      </c>
      <c r="B12" s="2" t="inlineStr">
        <is>
          <t>UNIFIQUE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118</v>
      </c>
      <c r="I12" s="6" t="n">
        <v>199</v>
      </c>
      <c r="J12" s="6" t="n">
        <v>285</v>
      </c>
      <c r="K12" s="6" t="n">
        <v>303</v>
      </c>
      <c r="L12" s="6" t="n">
        <v>311</v>
      </c>
      <c r="M12" s="6" t="n">
        <v>340</v>
      </c>
      <c r="N12" s="6" t="n">
        <v>344</v>
      </c>
      <c r="O12" s="6" t="n">
        <v>358</v>
      </c>
    </row>
    <row r="13">
      <c r="A13" s="5" t="inlineStr">
        <is>
          <t>Ligga Telecom</t>
        </is>
      </c>
      <c r="B13" s="2" t="inlineStr">
        <is>
          <t>LIGGA TELECOM</t>
        </is>
      </c>
      <c r="C13" s="6" t="n">
        <v>5</v>
      </c>
      <c r="D13" s="6" t="n">
        <v>5</v>
      </c>
      <c r="E13" s="6" t="n">
        <v>5</v>
      </c>
      <c r="F13" s="6" t="n">
        <v>5</v>
      </c>
      <c r="G13" s="6" t="n">
        <v>5</v>
      </c>
      <c r="H13" s="6" t="n">
        <v>5</v>
      </c>
      <c r="I13" s="6" t="n">
        <v>5</v>
      </c>
      <c r="J13" s="6" t="n">
        <v>5</v>
      </c>
      <c r="K13" s="6" t="n">
        <v>5</v>
      </c>
      <c r="L13" s="6" t="n">
        <v>5</v>
      </c>
      <c r="M13" s="6" t="n">
        <v>5</v>
      </c>
      <c r="N13" s="6" t="n">
        <v>5</v>
      </c>
      <c r="O13" s="6" t="n">
        <v>5</v>
      </c>
    </row>
    <row r="14">
      <c r="A14" s="7" t="inlineStr">
        <is>
          <t>Total</t>
        </is>
      </c>
      <c r="C14" s="8">
        <f>SUM(C5:C13)</f>
        <v/>
      </c>
      <c r="D14" s="8">
        <f>SUM(D5:D13)</f>
        <v/>
      </c>
      <c r="E14" s="8">
        <f>SUM(E5:E13)</f>
        <v/>
      </c>
      <c r="F14" s="8">
        <f>SUM(F5:F13)</f>
        <v/>
      </c>
      <c r="G14" s="8">
        <f>SUM(G5:G13)</f>
        <v/>
      </c>
      <c r="H14" s="8">
        <f>SUM(H5:H13)</f>
        <v/>
      </c>
      <c r="I14" s="8">
        <f>SUM(I5:I13)</f>
        <v/>
      </c>
      <c r="J14" s="8">
        <f>SUM(J5:J13)</f>
        <v/>
      </c>
      <c r="K14" s="8">
        <f>SUM(K5:K13)</f>
        <v/>
      </c>
      <c r="L14" s="8">
        <f>SUM(L5:L13)</f>
        <v/>
      </c>
      <c r="M14" s="8">
        <f>SUM(M5:M13)</f>
        <v/>
      </c>
      <c r="N14" s="8">
        <f>SUM(N5:N13)</f>
        <v/>
      </c>
      <c r="O14" s="8">
        <f>SUM(O5:O13)</f>
        <v/>
      </c>
    </row>
    <row r="16">
      <c r="A16" s="3" t="inlineStr">
        <is>
          <t>Market share</t>
        </is>
      </c>
      <c r="B16" s="3" t="inlineStr">
        <is>
          <t>Grupo (rótulo Anatel)</t>
        </is>
      </c>
      <c r="C16" s="4" t="inlineStr">
        <is>
          <t>09/25</t>
        </is>
      </c>
      <c r="D16" s="4" t="inlineStr">
        <is>
          <t>10/25</t>
        </is>
      </c>
      <c r="E16" s="4" t="inlineStr">
        <is>
          <t>11/25</t>
        </is>
      </c>
      <c r="F16" s="4" t="inlineStr">
        <is>
          <t>12/25</t>
        </is>
      </c>
      <c r="G16" s="4" t="inlineStr">
        <is>
          <t>01/26</t>
        </is>
      </c>
      <c r="H16" s="4" t="inlineStr">
        <is>
          <t>02/26</t>
        </is>
      </c>
      <c r="I16" s="4" t="inlineStr">
        <is>
          <t>03/26</t>
        </is>
      </c>
      <c r="J16" s="4" t="inlineStr">
        <is>
          <t>04/26</t>
        </is>
      </c>
      <c r="K16" s="4" t="inlineStr">
        <is>
          <t>05/26</t>
        </is>
      </c>
      <c r="L16" s="4" t="inlineStr">
        <is>
          <t>06/26</t>
        </is>
      </c>
      <c r="M16" s="4" t="inlineStr">
        <is>
          <t>07/26</t>
        </is>
      </c>
      <c r="N16" s="4" t="inlineStr">
        <is>
          <t>08/26</t>
        </is>
      </c>
      <c r="O16" s="4" t="inlineStr">
        <is>
          <t>09/26</t>
        </is>
      </c>
    </row>
    <row r="17">
      <c r="A17" s="5">
        <f>A5</f>
        <v/>
      </c>
      <c r="B17" s="2">
        <f>B5</f>
        <v/>
      </c>
      <c r="C17" s="9">
        <f>IF(C$14=0,0,C5/C$14)</f>
        <v/>
      </c>
      <c r="D17" s="9">
        <f>IF(D$14=0,0,D5/D$14)</f>
        <v/>
      </c>
      <c r="E17" s="9">
        <f>IF(E$14=0,0,E5/E$14)</f>
        <v/>
      </c>
      <c r="F17" s="9">
        <f>IF(F$14=0,0,F5/F$14)</f>
        <v/>
      </c>
      <c r="G17" s="9">
        <f>IF(G$14=0,0,G5/G$14)</f>
        <v/>
      </c>
      <c r="H17" s="9">
        <f>IF(H$14=0,0,H5/H$14)</f>
        <v/>
      </c>
      <c r="I17" s="9">
        <f>IF(I$14=0,0,I5/I$14)</f>
        <v/>
      </c>
      <c r="J17" s="9">
        <f>IF(J$14=0,0,J5/J$14)</f>
        <v/>
      </c>
      <c r="K17" s="9">
        <f>IF(K$14=0,0,K5/K$14)</f>
        <v/>
      </c>
      <c r="L17" s="9">
        <f>IF(L$14=0,0,L5/L$14)</f>
        <v/>
      </c>
      <c r="M17" s="9">
        <f>IF(M$14=0,0,M5/M$14)</f>
        <v/>
      </c>
      <c r="N17" s="9">
        <f>IF(N$14=0,0,N5/N$14)</f>
        <v/>
      </c>
      <c r="O17" s="9">
        <f>IF(O$14=0,0,O5/O$14)</f>
        <v/>
      </c>
    </row>
    <row r="18">
      <c r="A18" s="5">
        <f>A6</f>
        <v/>
      </c>
      <c r="B18" s="2">
        <f>B6</f>
        <v/>
      </c>
      <c r="C18" s="9">
        <f>IF(C$14=0,0,C6/C$14)</f>
        <v/>
      </c>
      <c r="D18" s="9">
        <f>IF(D$14=0,0,D6/D$14)</f>
        <v/>
      </c>
      <c r="E18" s="9">
        <f>IF(E$14=0,0,E6/E$14)</f>
        <v/>
      </c>
      <c r="F18" s="9">
        <f>IF(F$14=0,0,F6/F$14)</f>
        <v/>
      </c>
      <c r="G18" s="9">
        <f>IF(G$14=0,0,G6/G$14)</f>
        <v/>
      </c>
      <c r="H18" s="9">
        <f>IF(H$14=0,0,H6/H$14)</f>
        <v/>
      </c>
      <c r="I18" s="9">
        <f>IF(I$14=0,0,I6/I$14)</f>
        <v/>
      </c>
      <c r="J18" s="9">
        <f>IF(J$14=0,0,J6/J$14)</f>
        <v/>
      </c>
      <c r="K18" s="9">
        <f>IF(K$14=0,0,K6/K$14)</f>
        <v/>
      </c>
      <c r="L18" s="9">
        <f>IF(L$14=0,0,L6/L$14)</f>
        <v/>
      </c>
      <c r="M18" s="9">
        <f>IF(M$14=0,0,M6/M$14)</f>
        <v/>
      </c>
      <c r="N18" s="9">
        <f>IF(N$14=0,0,N6/N$14)</f>
        <v/>
      </c>
      <c r="O18" s="9">
        <f>IF(O$14=0,0,O6/O$14)</f>
        <v/>
      </c>
    </row>
    <row r="19">
      <c r="A19" s="5">
        <f>A7</f>
        <v/>
      </c>
      <c r="B19" s="2">
        <f>B7</f>
        <v/>
      </c>
      <c r="C19" s="9">
        <f>IF(C$14=0,0,C7/C$14)</f>
        <v/>
      </c>
      <c r="D19" s="9">
        <f>IF(D$14=0,0,D7/D$14)</f>
        <v/>
      </c>
      <c r="E19" s="9">
        <f>IF(E$14=0,0,E7/E$14)</f>
        <v/>
      </c>
      <c r="F19" s="9">
        <f>IF(F$14=0,0,F7/F$14)</f>
        <v/>
      </c>
      <c r="G19" s="9">
        <f>IF(G$14=0,0,G7/G$14)</f>
        <v/>
      </c>
      <c r="H19" s="9">
        <f>IF(H$14=0,0,H7/H$14)</f>
        <v/>
      </c>
      <c r="I19" s="9">
        <f>IF(I$14=0,0,I7/I$14)</f>
        <v/>
      </c>
      <c r="J19" s="9">
        <f>IF(J$14=0,0,J7/J$14)</f>
        <v/>
      </c>
      <c r="K19" s="9">
        <f>IF(K$14=0,0,K7/K$14)</f>
        <v/>
      </c>
      <c r="L19" s="9">
        <f>IF(L$14=0,0,L7/L$14)</f>
        <v/>
      </c>
      <c r="M19" s="9">
        <f>IF(M$14=0,0,M7/M$14)</f>
        <v/>
      </c>
      <c r="N19" s="9">
        <f>IF(N$14=0,0,N7/N$14)</f>
        <v/>
      </c>
      <c r="O19" s="9">
        <f>IF(O$14=0,0,O7/O$14)</f>
        <v/>
      </c>
    </row>
    <row r="20">
      <c r="A20" s="5">
        <f>A8</f>
        <v/>
      </c>
      <c r="B20" s="2">
        <f>B8</f>
        <v/>
      </c>
      <c r="C20" s="9">
        <f>IF(C$14=0,0,C8/C$14)</f>
        <v/>
      </c>
      <c r="D20" s="9">
        <f>IF(D$14=0,0,D8/D$14)</f>
        <v/>
      </c>
      <c r="E20" s="9">
        <f>IF(E$14=0,0,E8/E$14)</f>
        <v/>
      </c>
      <c r="F20" s="9">
        <f>IF(F$14=0,0,F8/F$14)</f>
        <v/>
      </c>
      <c r="G20" s="9">
        <f>IF(G$14=0,0,G8/G$14)</f>
        <v/>
      </c>
      <c r="H20" s="9">
        <f>IF(H$14=0,0,H8/H$14)</f>
        <v/>
      </c>
      <c r="I20" s="9">
        <f>IF(I$14=0,0,I8/I$14)</f>
        <v/>
      </c>
      <c r="J20" s="9">
        <f>IF(J$14=0,0,J8/J$14)</f>
        <v/>
      </c>
      <c r="K20" s="9">
        <f>IF(K$14=0,0,K8/K$14)</f>
        <v/>
      </c>
      <c r="L20" s="9">
        <f>IF(L$14=0,0,L8/L$14)</f>
        <v/>
      </c>
      <c r="M20" s="9">
        <f>IF(M$14=0,0,M8/M$14)</f>
        <v/>
      </c>
      <c r="N20" s="9">
        <f>IF(N$14=0,0,N8/N$14)</f>
        <v/>
      </c>
      <c r="O20" s="9">
        <f>IF(O$14=0,0,O8/O$14)</f>
        <v/>
      </c>
    </row>
    <row r="21">
      <c r="A21" s="5">
        <f>A9</f>
        <v/>
      </c>
      <c r="B21" s="2">
        <f>B9</f>
        <v/>
      </c>
      <c r="C21" s="9">
        <f>IF(C$14=0,0,C9/C$14)</f>
        <v/>
      </c>
      <c r="D21" s="9">
        <f>IF(D$14=0,0,D9/D$14)</f>
        <v/>
      </c>
      <c r="E21" s="9">
        <f>IF(E$14=0,0,E9/E$14)</f>
        <v/>
      </c>
      <c r="F21" s="9">
        <f>IF(F$14=0,0,F9/F$14)</f>
        <v/>
      </c>
      <c r="G21" s="9">
        <f>IF(G$14=0,0,G9/G$14)</f>
        <v/>
      </c>
      <c r="H21" s="9">
        <f>IF(H$14=0,0,H9/H$14)</f>
        <v/>
      </c>
      <c r="I21" s="9">
        <f>IF(I$14=0,0,I9/I$14)</f>
        <v/>
      </c>
      <c r="J21" s="9">
        <f>IF(J$14=0,0,J9/J$14)</f>
        <v/>
      </c>
      <c r="K21" s="9">
        <f>IF(K$14=0,0,K9/K$14)</f>
        <v/>
      </c>
      <c r="L21" s="9">
        <f>IF(L$14=0,0,L9/L$14)</f>
        <v/>
      </c>
      <c r="M21" s="9">
        <f>IF(M$14=0,0,M9/M$14)</f>
        <v/>
      </c>
      <c r="N21" s="9">
        <f>IF(N$14=0,0,N9/N$14)</f>
        <v/>
      </c>
      <c r="O21" s="9">
        <f>IF(O$14=0,0,O9/O$14)</f>
        <v/>
      </c>
    </row>
    <row r="22">
      <c r="A22" s="5">
        <f>A10</f>
        <v/>
      </c>
      <c r="B22" s="2">
        <f>B10</f>
        <v/>
      </c>
      <c r="C22" s="9">
        <f>IF(C$14=0,0,C10/C$14)</f>
        <v/>
      </c>
      <c r="D22" s="9">
        <f>IF(D$14=0,0,D10/D$14)</f>
        <v/>
      </c>
      <c r="E22" s="9">
        <f>IF(E$14=0,0,E10/E$14)</f>
        <v/>
      </c>
      <c r="F22" s="9">
        <f>IF(F$14=0,0,F10/F$14)</f>
        <v/>
      </c>
      <c r="G22" s="9">
        <f>IF(G$14=0,0,G10/G$14)</f>
        <v/>
      </c>
      <c r="H22" s="9">
        <f>IF(H$14=0,0,H10/H$14)</f>
        <v/>
      </c>
      <c r="I22" s="9">
        <f>IF(I$14=0,0,I10/I$14)</f>
        <v/>
      </c>
      <c r="J22" s="9">
        <f>IF(J$14=0,0,J10/J$14)</f>
        <v/>
      </c>
      <c r="K22" s="9">
        <f>IF(K$14=0,0,K10/K$14)</f>
        <v/>
      </c>
      <c r="L22" s="9">
        <f>IF(L$14=0,0,L10/L$14)</f>
        <v/>
      </c>
      <c r="M22" s="9">
        <f>IF(M$14=0,0,M10/M$14)</f>
        <v/>
      </c>
      <c r="N22" s="9">
        <f>IF(N$14=0,0,N10/N$14)</f>
        <v/>
      </c>
      <c r="O22" s="9">
        <f>IF(O$14=0,0,O10/O$14)</f>
        <v/>
      </c>
    </row>
    <row r="23">
      <c r="A23" s="5">
        <f>A11</f>
        <v/>
      </c>
      <c r="B23" s="2">
        <f>B11</f>
        <v/>
      </c>
      <c r="C23" s="9">
        <f>IF(C$14=0,0,C11/C$14)</f>
        <v/>
      </c>
      <c r="D23" s="9">
        <f>IF(D$14=0,0,D11/D$14)</f>
        <v/>
      </c>
      <c r="E23" s="9">
        <f>IF(E$14=0,0,E11/E$14)</f>
        <v/>
      </c>
      <c r="F23" s="9">
        <f>IF(F$14=0,0,F11/F$14)</f>
        <v/>
      </c>
      <c r="G23" s="9">
        <f>IF(G$14=0,0,G11/G$14)</f>
        <v/>
      </c>
      <c r="H23" s="9">
        <f>IF(H$14=0,0,H11/H$14)</f>
        <v/>
      </c>
      <c r="I23" s="9">
        <f>IF(I$14=0,0,I11/I$14)</f>
        <v/>
      </c>
      <c r="J23" s="9">
        <f>IF(J$14=0,0,J11/J$14)</f>
        <v/>
      </c>
      <c r="K23" s="9">
        <f>IF(K$14=0,0,K11/K$14)</f>
        <v/>
      </c>
      <c r="L23" s="9">
        <f>IF(L$14=0,0,L11/L$14)</f>
        <v/>
      </c>
      <c r="M23" s="9">
        <f>IF(M$14=0,0,M11/M$14)</f>
        <v/>
      </c>
      <c r="N23" s="9">
        <f>IF(N$14=0,0,N11/N$14)</f>
        <v/>
      </c>
      <c r="O23" s="9">
        <f>IF(O$14=0,0,O11/O$14)</f>
        <v/>
      </c>
    </row>
    <row r="24">
      <c r="A24" s="5">
        <f>A12</f>
        <v/>
      </c>
      <c r="B24" s="2">
        <f>B12</f>
        <v/>
      </c>
      <c r="C24" s="9">
        <f>IF(C$14=0,0,C12/C$14)</f>
        <v/>
      </c>
      <c r="D24" s="9">
        <f>IF(D$14=0,0,D12/D$14)</f>
        <v/>
      </c>
      <c r="E24" s="9">
        <f>IF(E$14=0,0,E12/E$14)</f>
        <v/>
      </c>
      <c r="F24" s="9">
        <f>IF(F$14=0,0,F12/F$14)</f>
        <v/>
      </c>
      <c r="G24" s="9">
        <f>IF(G$14=0,0,G12/G$14)</f>
        <v/>
      </c>
      <c r="H24" s="9">
        <f>IF(H$14=0,0,H12/H$14)</f>
        <v/>
      </c>
      <c r="I24" s="9">
        <f>IF(I$14=0,0,I12/I$14)</f>
        <v/>
      </c>
      <c r="J24" s="9">
        <f>IF(J$14=0,0,J12/J$14)</f>
        <v/>
      </c>
      <c r="K24" s="9">
        <f>IF(K$14=0,0,K12/K$14)</f>
        <v/>
      </c>
      <c r="L24" s="9">
        <f>IF(L$14=0,0,L12/L$14)</f>
        <v/>
      </c>
      <c r="M24" s="9">
        <f>IF(M$14=0,0,M12/M$14)</f>
        <v/>
      </c>
      <c r="N24" s="9">
        <f>IF(N$14=0,0,N12/N$14)</f>
        <v/>
      </c>
      <c r="O24" s="9">
        <f>IF(O$14=0,0,O12/O$14)</f>
        <v/>
      </c>
    </row>
    <row r="25">
      <c r="A25" s="5">
        <f>A13</f>
        <v/>
      </c>
      <c r="B25" s="2">
        <f>B13</f>
        <v/>
      </c>
      <c r="C25" s="9">
        <f>IF(C$14=0,0,C13/C$14)</f>
        <v/>
      </c>
      <c r="D25" s="9">
        <f>IF(D$14=0,0,D13/D$14)</f>
        <v/>
      </c>
      <c r="E25" s="9">
        <f>IF(E$14=0,0,E13/E$14)</f>
        <v/>
      </c>
      <c r="F25" s="9">
        <f>IF(F$14=0,0,F13/F$14)</f>
        <v/>
      </c>
      <c r="G25" s="9">
        <f>IF(G$14=0,0,G13/G$14)</f>
        <v/>
      </c>
      <c r="H25" s="9">
        <f>IF(H$14=0,0,H13/H$14)</f>
        <v/>
      </c>
      <c r="I25" s="9">
        <f>IF(I$14=0,0,I13/I$14)</f>
        <v/>
      </c>
      <c r="J25" s="9">
        <f>IF(J$14=0,0,J13/J$14)</f>
        <v/>
      </c>
      <c r="K25" s="9">
        <f>IF(K$14=0,0,K13/K$14)</f>
        <v/>
      </c>
      <c r="L25" s="9">
        <f>IF(L$14=0,0,L13/L$14)</f>
        <v/>
      </c>
      <c r="M25" s="9">
        <f>IF(M$14=0,0,M13/M$14)</f>
        <v/>
      </c>
      <c r="N25" s="9">
        <f>IF(N$14=0,0,N13/N$14)</f>
        <v/>
      </c>
      <c r="O25" s="9">
        <f>IF(O$14=0,0,O13/O$14)</f>
        <v/>
      </c>
    </row>
    <row r="26">
      <c r="A26" s="7">
        <f>A14</f>
        <v/>
      </c>
      <c r="C26" s="10">
        <f>IF(C$14=0,0,C14/C$14)</f>
        <v/>
      </c>
      <c r="D26" s="10">
        <f>IF(D$14=0,0,D14/D$14)</f>
        <v/>
      </c>
      <c r="E26" s="10">
        <f>IF(E$14=0,0,E14/E$14)</f>
        <v/>
      </c>
      <c r="F26" s="10">
        <f>IF(F$14=0,0,F14/F$14)</f>
        <v/>
      </c>
      <c r="G26" s="10">
        <f>IF(G$14=0,0,G14/G$14)</f>
        <v/>
      </c>
      <c r="H26" s="10">
        <f>IF(H$14=0,0,H14/H$14)</f>
        <v/>
      </c>
      <c r="I26" s="10">
        <f>IF(I$14=0,0,I14/I$14)</f>
        <v/>
      </c>
      <c r="J26" s="10">
        <f>IF(J$14=0,0,J14/J$14)</f>
        <v/>
      </c>
      <c r="K26" s="10">
        <f>IF(K$14=0,0,K14/K$14)</f>
        <v/>
      </c>
      <c r="L26" s="10">
        <f>IF(L$14=0,0,L14/L$14)</f>
        <v/>
      </c>
      <c r="M26" s="10">
        <f>IF(M$14=0,0,M14/M$14)</f>
        <v/>
      </c>
      <c r="N26" s="10">
        <f>IF(N$14=0,0,N14/N$14)</f>
        <v/>
      </c>
      <c r="O26" s="10">
        <f>IF(O$14=0,0,O14/O$14)</f>
        <v/>
      </c>
    </row>
    <row r="28">
      <c r="A28" s="3" t="inlineStr">
        <is>
          <t>Adições líquidas (m/m)</t>
        </is>
      </c>
      <c r="B28" s="3" t="inlineStr">
        <is>
          <t>Grupo (rótulo Anatel)</t>
        </is>
      </c>
      <c r="C28" s="4" t="inlineStr">
        <is>
          <t>09/25</t>
        </is>
      </c>
      <c r="D28" s="4" t="inlineStr">
        <is>
          <t>10/25</t>
        </is>
      </c>
      <c r="E28" s="4" t="inlineStr">
        <is>
          <t>11/25</t>
        </is>
      </c>
      <c r="F28" s="4" t="inlineStr">
        <is>
          <t>12/25</t>
        </is>
      </c>
      <c r="G28" s="4" t="inlineStr">
        <is>
          <t>01/26</t>
        </is>
      </c>
      <c r="H28" s="4" t="inlineStr">
        <is>
          <t>02/26</t>
        </is>
      </c>
      <c r="I28" s="4" t="inlineStr">
        <is>
          <t>03/26</t>
        </is>
      </c>
      <c r="J28" s="4" t="inlineStr">
        <is>
          <t>04/26</t>
        </is>
      </c>
      <c r="K28" s="4" t="inlineStr">
        <is>
          <t>05/26</t>
        </is>
      </c>
      <c r="L28" s="4" t="inlineStr">
        <is>
          <t>06/26</t>
        </is>
      </c>
      <c r="M28" s="4" t="inlineStr">
        <is>
          <t>07/26</t>
        </is>
      </c>
      <c r="N28" s="4" t="inlineStr">
        <is>
          <t>08/26</t>
        </is>
      </c>
      <c r="O28" s="4" t="inlineStr">
        <is>
          <t>09/26</t>
        </is>
      </c>
    </row>
    <row r="29">
      <c r="A29" s="5">
        <f>A5</f>
        <v/>
      </c>
      <c r="B29" s="2">
        <f>B5</f>
        <v/>
      </c>
      <c r="D29" s="11">
        <f>D5-C5</f>
        <v/>
      </c>
      <c r="E29" s="11">
        <f>E5-D5</f>
        <v/>
      </c>
      <c r="F29" s="11">
        <f>F5-E5</f>
        <v/>
      </c>
      <c r="G29" s="11">
        <f>G5-F5</f>
        <v/>
      </c>
      <c r="H29" s="11">
        <f>H5-G5</f>
        <v/>
      </c>
      <c r="I29" s="11">
        <f>I5-H5</f>
        <v/>
      </c>
      <c r="J29" s="11">
        <f>J5-I5</f>
        <v/>
      </c>
      <c r="K29" s="11">
        <f>K5-J5</f>
        <v/>
      </c>
      <c r="L29" s="11">
        <f>L5-K5</f>
        <v/>
      </c>
      <c r="M29" s="11">
        <f>M5-L5</f>
        <v/>
      </c>
      <c r="N29" s="11">
        <f>N5-M5</f>
        <v/>
      </c>
      <c r="O29" s="11">
        <f>O5-N5</f>
        <v/>
      </c>
    </row>
    <row r="30">
      <c r="A30" s="5">
        <f>A6</f>
        <v/>
      </c>
      <c r="B30" s="2">
        <f>B6</f>
        <v/>
      </c>
      <c r="D30" s="11">
        <f>D6-C6</f>
        <v/>
      </c>
      <c r="E30" s="11">
        <f>E6-D6</f>
        <v/>
      </c>
      <c r="F30" s="11">
        <f>F6-E6</f>
        <v/>
      </c>
      <c r="G30" s="11">
        <f>G6-F6</f>
        <v/>
      </c>
      <c r="H30" s="11">
        <f>H6-G6</f>
        <v/>
      </c>
      <c r="I30" s="11">
        <f>I6-H6</f>
        <v/>
      </c>
      <c r="J30" s="11">
        <f>J6-I6</f>
        <v/>
      </c>
      <c r="K30" s="11">
        <f>K6-J6</f>
        <v/>
      </c>
      <c r="L30" s="11">
        <f>L6-K6</f>
        <v/>
      </c>
      <c r="M30" s="11">
        <f>M6-L6</f>
        <v/>
      </c>
      <c r="N30" s="11">
        <f>N6-M6</f>
        <v/>
      </c>
      <c r="O30" s="11">
        <f>O6-N6</f>
        <v/>
      </c>
    </row>
    <row r="31">
      <c r="A31" s="5">
        <f>A7</f>
        <v/>
      </c>
      <c r="B31" s="2">
        <f>B7</f>
        <v/>
      </c>
      <c r="D31" s="11">
        <f>D7-C7</f>
        <v/>
      </c>
      <c r="E31" s="11">
        <f>E7-D7</f>
        <v/>
      </c>
      <c r="F31" s="11">
        <f>F7-E7</f>
        <v/>
      </c>
      <c r="G31" s="11">
        <f>G7-F7</f>
        <v/>
      </c>
      <c r="H31" s="11">
        <f>H7-G7</f>
        <v/>
      </c>
      <c r="I31" s="11">
        <f>I7-H7</f>
        <v/>
      </c>
      <c r="J31" s="11">
        <f>J7-I7</f>
        <v/>
      </c>
      <c r="K31" s="11">
        <f>K7-J7</f>
        <v/>
      </c>
      <c r="L31" s="11">
        <f>L7-K7</f>
        <v/>
      </c>
      <c r="M31" s="11">
        <f>M7-L7</f>
        <v/>
      </c>
      <c r="N31" s="11">
        <f>N7-M7</f>
        <v/>
      </c>
      <c r="O31" s="11">
        <f>O7-N7</f>
        <v/>
      </c>
    </row>
    <row r="32">
      <c r="A32" s="5">
        <f>A8</f>
        <v/>
      </c>
      <c r="B32" s="2">
        <f>B8</f>
        <v/>
      </c>
      <c r="D32" s="11">
        <f>D8-C8</f>
        <v/>
      </c>
      <c r="E32" s="11">
        <f>E8-D8</f>
        <v/>
      </c>
      <c r="F32" s="11">
        <f>F8-E8</f>
        <v/>
      </c>
      <c r="G32" s="11">
        <f>G8-F8</f>
        <v/>
      </c>
      <c r="H32" s="11">
        <f>H8-G8</f>
        <v/>
      </c>
      <c r="I32" s="11">
        <f>I8-H8</f>
        <v/>
      </c>
      <c r="J32" s="11">
        <f>J8-I8</f>
        <v/>
      </c>
      <c r="K32" s="11">
        <f>K8-J8</f>
        <v/>
      </c>
      <c r="L32" s="11">
        <f>L8-K8</f>
        <v/>
      </c>
      <c r="M32" s="11">
        <f>M8-L8</f>
        <v/>
      </c>
      <c r="N32" s="11">
        <f>N8-M8</f>
        <v/>
      </c>
      <c r="O32" s="11">
        <f>O8-N8</f>
        <v/>
      </c>
    </row>
    <row r="33">
      <c r="A33" s="5">
        <f>A9</f>
        <v/>
      </c>
      <c r="B33" s="2">
        <f>B9</f>
        <v/>
      </c>
      <c r="D33" s="11">
        <f>D9-C9</f>
        <v/>
      </c>
      <c r="E33" s="11">
        <f>E9-D9</f>
        <v/>
      </c>
      <c r="F33" s="11">
        <f>F9-E9</f>
        <v/>
      </c>
      <c r="G33" s="11">
        <f>G9-F9</f>
        <v/>
      </c>
      <c r="H33" s="11">
        <f>H9-G9</f>
        <v/>
      </c>
      <c r="I33" s="11">
        <f>I9-H9</f>
        <v/>
      </c>
      <c r="J33" s="11">
        <f>J9-I9</f>
        <v/>
      </c>
      <c r="K33" s="11">
        <f>K9-J9</f>
        <v/>
      </c>
      <c r="L33" s="11">
        <f>L9-K9</f>
        <v/>
      </c>
      <c r="M33" s="11">
        <f>M9-L9</f>
        <v/>
      </c>
      <c r="N33" s="11">
        <f>N9-M9</f>
        <v/>
      </c>
      <c r="O33" s="11">
        <f>O9-N9</f>
        <v/>
      </c>
    </row>
    <row r="34">
      <c r="A34" s="5">
        <f>A10</f>
        <v/>
      </c>
      <c r="B34" s="2">
        <f>B10</f>
        <v/>
      </c>
      <c r="D34" s="11">
        <f>D10-C10</f>
        <v/>
      </c>
      <c r="E34" s="11">
        <f>E10-D10</f>
        <v/>
      </c>
      <c r="F34" s="11">
        <f>F10-E10</f>
        <v/>
      </c>
      <c r="G34" s="11">
        <f>G10-F10</f>
        <v/>
      </c>
      <c r="H34" s="11">
        <f>H10-G10</f>
        <v/>
      </c>
      <c r="I34" s="11">
        <f>I10-H10</f>
        <v/>
      </c>
      <c r="J34" s="11">
        <f>J10-I10</f>
        <v/>
      </c>
      <c r="K34" s="11">
        <f>K10-J10</f>
        <v/>
      </c>
      <c r="L34" s="11">
        <f>L10-K10</f>
        <v/>
      </c>
      <c r="M34" s="11">
        <f>M10-L10</f>
        <v/>
      </c>
      <c r="N34" s="11">
        <f>N10-M10</f>
        <v/>
      </c>
      <c r="O34" s="11">
        <f>O10-N10</f>
        <v/>
      </c>
    </row>
    <row r="35">
      <c r="A35" s="5">
        <f>A11</f>
        <v/>
      </c>
      <c r="B35" s="2">
        <f>B11</f>
        <v/>
      </c>
      <c r="D35" s="11">
        <f>D11-C11</f>
        <v/>
      </c>
      <c r="E35" s="11">
        <f>E11-D11</f>
        <v/>
      </c>
      <c r="F35" s="11">
        <f>F11-E11</f>
        <v/>
      </c>
      <c r="G35" s="11">
        <f>G11-F11</f>
        <v/>
      </c>
      <c r="H35" s="11">
        <f>H11-G11</f>
        <v/>
      </c>
      <c r="I35" s="11">
        <f>I11-H11</f>
        <v/>
      </c>
      <c r="J35" s="11">
        <f>J11-I11</f>
        <v/>
      </c>
      <c r="K35" s="11">
        <f>K11-J11</f>
        <v/>
      </c>
      <c r="L35" s="11">
        <f>L11-K11</f>
        <v/>
      </c>
      <c r="M35" s="11">
        <f>M11-L11</f>
        <v/>
      </c>
      <c r="N35" s="11">
        <f>N11-M11</f>
        <v/>
      </c>
      <c r="O35" s="11">
        <f>O11-N11</f>
        <v/>
      </c>
    </row>
    <row r="36">
      <c r="A36" s="5">
        <f>A12</f>
        <v/>
      </c>
      <c r="B36" s="2">
        <f>B12</f>
        <v/>
      </c>
      <c r="D36" s="11">
        <f>D12-C12</f>
        <v/>
      </c>
      <c r="E36" s="11">
        <f>E12-D12</f>
        <v/>
      </c>
      <c r="F36" s="11">
        <f>F12-E12</f>
        <v/>
      </c>
      <c r="G36" s="11">
        <f>G12-F12</f>
        <v/>
      </c>
      <c r="H36" s="11">
        <f>H12-G12</f>
        <v/>
      </c>
      <c r="I36" s="11">
        <f>I12-H12</f>
        <v/>
      </c>
      <c r="J36" s="11">
        <f>J12-I12</f>
        <v/>
      </c>
      <c r="K36" s="11">
        <f>K12-J12</f>
        <v/>
      </c>
      <c r="L36" s="11">
        <f>L12-K12</f>
        <v/>
      </c>
      <c r="M36" s="11">
        <f>M12-L12</f>
        <v/>
      </c>
      <c r="N36" s="11">
        <f>N12-M12</f>
        <v/>
      </c>
      <c r="O36" s="11">
        <f>O12-N12</f>
        <v/>
      </c>
    </row>
    <row r="37">
      <c r="A37" s="5">
        <f>A13</f>
        <v/>
      </c>
      <c r="B37" s="2">
        <f>B13</f>
        <v/>
      </c>
      <c r="D37" s="11">
        <f>D13-C13</f>
        <v/>
      </c>
      <c r="E37" s="11">
        <f>E13-D13</f>
        <v/>
      </c>
      <c r="F37" s="11">
        <f>F13-E13</f>
        <v/>
      </c>
      <c r="G37" s="11">
        <f>G13-F13</f>
        <v/>
      </c>
      <c r="H37" s="11">
        <f>H13-G13</f>
        <v/>
      </c>
      <c r="I37" s="11">
        <f>I13-H13</f>
        <v/>
      </c>
      <c r="J37" s="11">
        <f>J13-I13</f>
        <v/>
      </c>
      <c r="K37" s="11">
        <f>K13-J13</f>
        <v/>
      </c>
      <c r="L37" s="11">
        <f>L13-K13</f>
        <v/>
      </c>
      <c r="M37" s="11">
        <f>M13-L13</f>
        <v/>
      </c>
      <c r="N37" s="11">
        <f>N13-M13</f>
        <v/>
      </c>
      <c r="O37" s="11">
        <f>O13-N13</f>
        <v/>
      </c>
    </row>
    <row r="38">
      <c r="A38" s="7">
        <f>A14</f>
        <v/>
      </c>
      <c r="D38" s="12">
        <f>D14-C14</f>
        <v/>
      </c>
      <c r="E38" s="12">
        <f>E14-D14</f>
        <v/>
      </c>
      <c r="F38" s="12">
        <f>F14-E14</f>
        <v/>
      </c>
      <c r="G38" s="12">
        <f>G14-F14</f>
        <v/>
      </c>
      <c r="H38" s="12">
        <f>H14-G14</f>
        <v/>
      </c>
      <c r="I38" s="12">
        <f>I14-H14</f>
        <v/>
      </c>
      <c r="J38" s="12">
        <f>J14-I14</f>
        <v/>
      </c>
      <c r="K38" s="12">
        <f>K14-J14</f>
        <v/>
      </c>
      <c r="L38" s="12">
        <f>L14-K14</f>
        <v/>
      </c>
      <c r="M38" s="12">
        <f>M14-L14</f>
        <v/>
      </c>
      <c r="N38" s="12">
        <f>N14-M14</f>
        <v/>
      </c>
      <c r="O38" s="12">
        <f>O14-N14</f>
        <v/>
      </c>
    </row>
    <row r="40">
      <c r="A40" s="3" t="inlineStr">
        <is>
          <t>Último mês vs 09/25</t>
        </is>
      </c>
      <c r="B40" s="3" t="inlineStr"/>
      <c r="C40" s="3" t="inlineStr">
        <is>
          <t>Var. a/a</t>
        </is>
      </c>
      <c r="D40" s="3" t="inlineStr">
        <is>
          <t>Δ share (p.p.)</t>
        </is>
      </c>
    </row>
    <row r="41">
      <c r="A41" s="5">
        <f>A5</f>
        <v/>
      </c>
      <c r="C41" s="13">
        <f>IF(C5=0,0,O5/C5-1)</f>
        <v/>
      </c>
      <c r="D41" s="14">
        <f>(O17-C17)*100</f>
        <v/>
      </c>
    </row>
    <row r="42">
      <c r="A42" s="5">
        <f>A6</f>
        <v/>
      </c>
      <c r="C42" s="13">
        <f>IF(C6=0,0,O6/C6-1)</f>
        <v/>
      </c>
      <c r="D42" s="14">
        <f>(O18-C18)*100</f>
        <v/>
      </c>
    </row>
    <row r="43">
      <c r="A43" s="5">
        <f>A7</f>
        <v/>
      </c>
      <c r="C43" s="13">
        <f>IF(C7=0,0,O7/C7-1)</f>
        <v/>
      </c>
      <c r="D43" s="14">
        <f>(O19-C19)*100</f>
        <v/>
      </c>
    </row>
    <row r="44">
      <c r="A44" s="5">
        <f>A8</f>
        <v/>
      </c>
      <c r="C44" s="13">
        <f>IF(C8=0,0,O8/C8-1)</f>
        <v/>
      </c>
      <c r="D44" s="14">
        <f>(O20-C20)*100</f>
        <v/>
      </c>
    </row>
    <row r="45">
      <c r="A45" s="5">
        <f>A9</f>
        <v/>
      </c>
      <c r="C45" s="13">
        <f>IF(C9=0,0,O9/C9-1)</f>
        <v/>
      </c>
      <c r="D45" s="14">
        <f>(O21-C21)*100</f>
        <v/>
      </c>
    </row>
    <row r="46">
      <c r="A46" s="5">
        <f>A10</f>
        <v/>
      </c>
      <c r="C46" s="13">
        <f>IF(C10=0,0,O10/C10-1)</f>
        <v/>
      </c>
      <c r="D46" s="14">
        <f>(O22-C22)*100</f>
        <v/>
      </c>
    </row>
    <row r="47">
      <c r="A47" s="5">
        <f>A11</f>
        <v/>
      </c>
      <c r="C47" s="13">
        <f>IF(C11=0,0,O11/C11-1)</f>
        <v/>
      </c>
      <c r="D47" s="14">
        <f>(O23-C23)*100</f>
        <v/>
      </c>
    </row>
    <row r="48">
      <c r="A48" s="5">
        <f>A12</f>
        <v/>
      </c>
      <c r="C48" s="13">
        <f>IF(C12=0,0,O12/C12-1)</f>
        <v/>
      </c>
      <c r="D48" s="14">
        <f>(O24-C24)*100</f>
        <v/>
      </c>
    </row>
    <row r="49">
      <c r="A49" s="5">
        <f>A13</f>
        <v/>
      </c>
      <c r="C49" s="13">
        <f>IF(C13=0,0,O13/C13-1)</f>
        <v/>
      </c>
      <c r="D49" s="14">
        <f>(O25-C25)*100</f>
        <v/>
      </c>
    </row>
    <row r="50">
      <c r="A50" s="7">
        <f>A14</f>
        <v/>
      </c>
      <c r="C50" s="13">
        <f>IF(C14=0,0,O14/C14-1)</f>
        <v/>
      </c>
      <c r="D50" s="14">
        <f>(O26-C26)*100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Banda larga fixa — acessos por grupo econômico</t>
        </is>
      </c>
    </row>
    <row r="2">
      <c r="A2" s="2" t="inlineStr">
        <is>
          <t>Todos os acessos de SCM (bate com o total oficial Anatel, ver Notas)</t>
        </is>
      </c>
    </row>
    <row r="4">
      <c r="A4" s="3" t="inlineStr">
        <is>
          <t>Acessos</t>
        </is>
      </c>
      <c r="B4" s="3" t="inlineStr">
        <is>
          <t>Grupo (rótulo Anatel)</t>
        </is>
      </c>
      <c r="C4" s="4" t="inlineStr">
        <is>
          <t>09/25</t>
        </is>
      </c>
      <c r="D4" s="4" t="inlineStr">
        <is>
          <t>10/25</t>
        </is>
      </c>
      <c r="E4" s="4" t="inlineStr">
        <is>
          <t>11/25</t>
        </is>
      </c>
      <c r="F4" s="4" t="inlineStr">
        <is>
          <t>12/25</t>
        </is>
      </c>
      <c r="G4" s="4" t="inlineStr">
        <is>
          <t>01/26</t>
        </is>
      </c>
      <c r="H4" s="4" t="inlineStr">
        <is>
          <t>02/26</t>
        </is>
      </c>
      <c r="I4" s="4" t="inlineStr">
        <is>
          <t>03/26</t>
        </is>
      </c>
      <c r="J4" s="4" t="inlineStr">
        <is>
          <t>04/26</t>
        </is>
      </c>
      <c r="K4" s="4" t="inlineStr">
        <is>
          <t>05/26</t>
        </is>
      </c>
      <c r="L4" s="4" t="inlineStr">
        <is>
          <t>06/26</t>
        </is>
      </c>
      <c r="M4" s="4" t="inlineStr">
        <is>
          <t>07/26</t>
        </is>
      </c>
      <c r="N4" s="4" t="inlineStr">
        <is>
          <t>08/26</t>
        </is>
      </c>
      <c r="O4" s="4" t="inlineStr">
        <is>
          <t>09/26</t>
        </is>
      </c>
    </row>
    <row r="5">
      <c r="A5" s="5" t="inlineStr">
        <is>
          <t>Outros</t>
        </is>
      </c>
      <c r="B5" s="2" t="inlineStr">
        <is>
          <t>OUTROS</t>
        </is>
      </c>
      <c r="C5" s="6" t="n">
        <v>21251953</v>
      </c>
      <c r="D5" s="6" t="n">
        <v>21616238</v>
      </c>
      <c r="E5" s="6" t="n">
        <v>21195744</v>
      </c>
      <c r="F5" s="6" t="n">
        <v>21751366</v>
      </c>
      <c r="G5" s="6" t="n">
        <v>21869393</v>
      </c>
      <c r="H5" s="6" t="n">
        <v>22447704</v>
      </c>
      <c r="I5" s="6" t="n">
        <v>22913916</v>
      </c>
      <c r="J5" s="6" t="n">
        <v>23290014</v>
      </c>
      <c r="K5" s="6" t="n">
        <v>23864029</v>
      </c>
      <c r="L5" s="6" t="n">
        <v>24269774</v>
      </c>
      <c r="M5" s="6" t="n">
        <v>24171095</v>
      </c>
      <c r="N5" s="6" t="n">
        <v>24169260</v>
      </c>
      <c r="O5" s="6" t="n">
        <v>23427395</v>
      </c>
    </row>
    <row r="6">
      <c r="A6" s="5" t="inlineStr">
        <is>
          <t>Claro</t>
        </is>
      </c>
      <c r="B6" s="2" t="inlineStr">
        <is>
          <t>TELECOM AMERICAS</t>
        </is>
      </c>
      <c r="C6" s="6" t="n">
        <v>10504622</v>
      </c>
      <c r="D6" s="6" t="n">
        <v>10543240</v>
      </c>
      <c r="E6" s="6" t="n">
        <v>10583440</v>
      </c>
      <c r="F6" s="6" t="n">
        <v>10617497</v>
      </c>
      <c r="G6" s="6" t="n">
        <v>10655514</v>
      </c>
      <c r="H6" s="6" t="n">
        <v>10682390</v>
      </c>
      <c r="I6" s="6" t="n">
        <v>10727368</v>
      </c>
      <c r="J6" s="6" t="n">
        <v>10759841</v>
      </c>
      <c r="K6" s="6" t="n">
        <v>10784341</v>
      </c>
      <c r="L6" s="6" t="n">
        <v>10805062</v>
      </c>
      <c r="M6" s="6" t="n">
        <v>10842692</v>
      </c>
      <c r="N6" s="6" t="n">
        <v>10877036</v>
      </c>
      <c r="O6" s="6" t="n">
        <v>10903905</v>
      </c>
    </row>
    <row r="7">
      <c r="A7" s="5" t="inlineStr">
        <is>
          <t>Vivo</t>
        </is>
      </c>
      <c r="B7" s="2" t="inlineStr">
        <is>
          <t>TELEFONICA</t>
        </is>
      </c>
      <c r="C7" s="6" t="n">
        <v>7866506</v>
      </c>
      <c r="D7" s="6" t="n">
        <v>7931141</v>
      </c>
      <c r="E7" s="6" t="n">
        <v>7994172</v>
      </c>
      <c r="F7" s="6" t="n">
        <v>8042058</v>
      </c>
      <c r="G7" s="6" t="n">
        <v>8098465</v>
      </c>
      <c r="H7" s="6" t="n">
        <v>8144048</v>
      </c>
      <c r="I7" s="6" t="n">
        <v>8212765</v>
      </c>
      <c r="J7" s="6" t="n">
        <v>8278325</v>
      </c>
      <c r="K7" s="6" t="n">
        <v>8352443</v>
      </c>
      <c r="L7" s="6" t="n">
        <v>8409356</v>
      </c>
      <c r="M7" s="6" t="n">
        <v>8479411</v>
      </c>
      <c r="N7" s="6" t="n">
        <v>8543692</v>
      </c>
      <c r="O7" s="6" t="n">
        <v>8607073</v>
      </c>
    </row>
    <row r="8">
      <c r="A8" s="5" t="inlineStr">
        <is>
          <t>Oi</t>
        </is>
      </c>
      <c r="B8" s="2" t="inlineStr">
        <is>
          <t>OI</t>
        </is>
      </c>
      <c r="C8" s="6" t="n">
        <v>3942261</v>
      </c>
      <c r="D8" s="6" t="n">
        <v>3863611</v>
      </c>
      <c r="E8" s="6" t="n">
        <v>3756313</v>
      </c>
      <c r="F8" s="6" t="n">
        <v>3693261</v>
      </c>
      <c r="G8" s="6" t="n">
        <v>3623077</v>
      </c>
      <c r="H8" s="6" t="n">
        <v>3578605</v>
      </c>
      <c r="I8" s="6" t="n">
        <v>3529684</v>
      </c>
      <c r="J8" s="6" t="n">
        <v>3510892</v>
      </c>
      <c r="K8" s="6" t="n">
        <v>3458749</v>
      </c>
      <c r="L8" s="6" t="n">
        <v>3434931</v>
      </c>
      <c r="M8" s="6" t="n">
        <v>3444770</v>
      </c>
      <c r="N8" s="6" t="n">
        <v>3465506</v>
      </c>
      <c r="O8" s="6" t="n">
        <v>3482496</v>
      </c>
    </row>
    <row r="9">
      <c r="A9" s="5" t="inlineStr">
        <is>
          <t>Brisanet</t>
        </is>
      </c>
      <c r="B9" s="2" t="inlineStr">
        <is>
          <t>BRISANET</t>
        </is>
      </c>
      <c r="C9" s="6" t="n">
        <v>1538952</v>
      </c>
      <c r="D9" s="6" t="n">
        <v>1545705</v>
      </c>
      <c r="E9" s="6" t="n">
        <v>1549994</v>
      </c>
      <c r="F9" s="6" t="n">
        <v>1554231</v>
      </c>
      <c r="G9" s="6" t="n">
        <v>1558912</v>
      </c>
      <c r="H9" s="6" t="n">
        <v>1563013</v>
      </c>
      <c r="I9" s="6" t="n">
        <v>1567284</v>
      </c>
      <c r="J9" s="6" t="n">
        <v>1572321</v>
      </c>
      <c r="K9" s="6" t="n">
        <v>1578364</v>
      </c>
      <c r="L9" s="6" t="n">
        <v>1579840</v>
      </c>
      <c r="M9" s="6" t="n">
        <v>1584006</v>
      </c>
      <c r="N9" s="6" t="n">
        <v>1587128</v>
      </c>
      <c r="O9" s="6" t="n">
        <v>1589411</v>
      </c>
    </row>
    <row r="10">
      <c r="A10" s="5" t="inlineStr">
        <is>
          <t>Brasil Tecpar</t>
        </is>
      </c>
      <c r="B10" s="2" t="inlineStr">
        <is>
          <t>BRASIL TECPAR</t>
        </is>
      </c>
      <c r="C10" s="6" t="n">
        <v>1310226</v>
      </c>
      <c r="D10" s="6" t="n">
        <v>1316629</v>
      </c>
      <c r="E10" s="6" t="n">
        <v>1323976</v>
      </c>
      <c r="F10" s="6" t="n">
        <v>1344824</v>
      </c>
      <c r="G10" s="6" t="n">
        <v>1359332</v>
      </c>
      <c r="H10" s="6" t="n">
        <v>1364222</v>
      </c>
      <c r="I10" s="6" t="n">
        <v>1371782</v>
      </c>
      <c r="J10" s="6" t="n">
        <v>1377335</v>
      </c>
      <c r="K10" s="6" t="n">
        <v>1370170</v>
      </c>
      <c r="L10" s="6" t="n">
        <v>1372924</v>
      </c>
      <c r="M10" s="6" t="n">
        <v>1381274</v>
      </c>
      <c r="N10" s="6" t="n">
        <v>1384020</v>
      </c>
      <c r="O10" s="6" t="n">
        <v>1387961</v>
      </c>
    </row>
    <row r="11">
      <c r="A11" s="5" t="inlineStr">
        <is>
          <t>Vero</t>
        </is>
      </c>
      <c r="B11" s="2" t="inlineStr">
        <is>
          <t>VERO</t>
        </is>
      </c>
      <c r="C11" s="6" t="n">
        <v>1369463</v>
      </c>
      <c r="D11" s="6" t="n">
        <v>1364571</v>
      </c>
      <c r="E11" s="6" t="n">
        <v>1358434</v>
      </c>
      <c r="F11" s="6" t="n">
        <v>1355015</v>
      </c>
      <c r="G11" s="6" t="n">
        <v>1347531</v>
      </c>
      <c r="H11" s="6" t="n">
        <v>1335264</v>
      </c>
      <c r="I11" s="6" t="n">
        <v>1325035</v>
      </c>
      <c r="J11" s="6" t="n">
        <v>1314714</v>
      </c>
      <c r="K11" s="6" t="n">
        <v>1311590</v>
      </c>
      <c r="L11" s="6" t="n">
        <v>1305248</v>
      </c>
      <c r="M11" s="6" t="n">
        <v>1298830</v>
      </c>
      <c r="N11" s="6" t="n">
        <v>1291738</v>
      </c>
      <c r="O11" s="6" t="n">
        <v>1290026</v>
      </c>
    </row>
    <row r="12">
      <c r="A12" s="5" t="inlineStr">
        <is>
          <t>Giga Mais Fibra</t>
        </is>
      </c>
      <c r="B12" s="2" t="inlineStr">
        <is>
          <t>GIGA MAIS FIBRA</t>
        </is>
      </c>
      <c r="C12" s="6" t="n">
        <v>1511541</v>
      </c>
      <c r="D12" s="6" t="n">
        <v>1493292</v>
      </c>
      <c r="E12" s="6" t="n">
        <v>1465036</v>
      </c>
      <c r="F12" s="6" t="n">
        <v>1433003</v>
      </c>
      <c r="G12" s="6" t="n">
        <v>1408159</v>
      </c>
      <c r="H12" s="6" t="n">
        <v>1386830</v>
      </c>
      <c r="I12" s="6" t="n">
        <v>1364559</v>
      </c>
      <c r="J12" s="6" t="n">
        <v>1345500</v>
      </c>
      <c r="K12" s="6" t="n">
        <v>1329846</v>
      </c>
      <c r="L12" s="6" t="n">
        <v>1313370</v>
      </c>
      <c r="M12" s="6" t="n">
        <v>1300316</v>
      </c>
      <c r="N12" s="6" t="n">
        <v>1287642</v>
      </c>
      <c r="O12" s="6" t="n">
        <v>1276717</v>
      </c>
    </row>
    <row r="13">
      <c r="A13" s="5" t="inlineStr">
        <is>
          <t>Desktop</t>
        </is>
      </c>
      <c r="B13" s="2" t="inlineStr">
        <is>
          <t>DESKTOP</t>
        </is>
      </c>
      <c r="C13" s="6" t="n">
        <v>1198375</v>
      </c>
      <c r="D13" s="6" t="n">
        <v>1205456</v>
      </c>
      <c r="E13" s="6" t="n">
        <v>1207525</v>
      </c>
      <c r="F13" s="6" t="n">
        <v>1207607</v>
      </c>
      <c r="G13" s="6" t="n">
        <v>1208654</v>
      </c>
      <c r="H13" s="6" t="n">
        <v>1208182</v>
      </c>
      <c r="I13" s="6" t="n">
        <v>1205698</v>
      </c>
      <c r="J13" s="6" t="n">
        <v>1203793</v>
      </c>
      <c r="K13" s="6" t="n">
        <v>1200501</v>
      </c>
      <c r="L13" s="6" t="n">
        <v>1199770</v>
      </c>
      <c r="M13" s="6" t="n">
        <v>1198279</v>
      </c>
      <c r="N13" s="6" t="n">
        <v>1194307</v>
      </c>
      <c r="O13" s="6" t="n">
        <v>1195706</v>
      </c>
    </row>
    <row r="14">
      <c r="A14" s="5" t="inlineStr">
        <is>
          <t>TIM</t>
        </is>
      </c>
      <c r="B14" s="2" t="inlineStr">
        <is>
          <t>TELECOM ITALIA</t>
        </is>
      </c>
      <c r="C14" s="6" t="n">
        <v>829475</v>
      </c>
      <c r="D14" s="6" t="n">
        <v>837948</v>
      </c>
      <c r="E14" s="6" t="n">
        <v>849422</v>
      </c>
      <c r="F14" s="6" t="n">
        <v>856905</v>
      </c>
      <c r="G14" s="6" t="n">
        <v>866565</v>
      </c>
      <c r="H14" s="6" t="n">
        <v>878073</v>
      </c>
      <c r="I14" s="6" t="n">
        <v>887155</v>
      </c>
      <c r="J14" s="6" t="n">
        <v>893526</v>
      </c>
      <c r="K14" s="6" t="n">
        <v>901550</v>
      </c>
      <c r="L14" s="6" t="n">
        <v>906476</v>
      </c>
      <c r="M14" s="6" t="n">
        <v>918547</v>
      </c>
      <c r="N14" s="6" t="n">
        <v>929882</v>
      </c>
      <c r="O14" s="6" t="n">
        <v>938371</v>
      </c>
    </row>
    <row r="15">
      <c r="A15" s="5" t="inlineStr">
        <is>
          <t>Unifique</t>
        </is>
      </c>
      <c r="B15" s="2" t="inlineStr">
        <is>
          <t>UNIFIQUE</t>
        </is>
      </c>
      <c r="C15" s="6" t="n">
        <v>823491</v>
      </c>
      <c r="D15" s="6" t="n">
        <v>827517</v>
      </c>
      <c r="E15" s="6" t="n">
        <v>856434</v>
      </c>
      <c r="F15" s="6" t="n">
        <v>867952</v>
      </c>
      <c r="G15" s="6" t="n">
        <v>872309</v>
      </c>
      <c r="H15" s="6" t="n">
        <v>876868</v>
      </c>
      <c r="I15" s="6" t="n">
        <v>879986</v>
      </c>
      <c r="J15" s="6" t="n">
        <v>882874</v>
      </c>
      <c r="K15" s="6" t="n">
        <v>883910</v>
      </c>
      <c r="L15" s="6" t="n">
        <v>885395</v>
      </c>
      <c r="M15" s="6" t="n">
        <v>890493</v>
      </c>
      <c r="N15" s="6" t="n">
        <v>892030</v>
      </c>
      <c r="O15" s="6" t="n">
        <v>893392</v>
      </c>
    </row>
    <row r="16">
      <c r="A16" s="5" t="inlineStr">
        <is>
          <t>Algar</t>
        </is>
      </c>
      <c r="B16" s="2" t="inlineStr">
        <is>
          <t>ALGAR (CTBC TELECOM)</t>
        </is>
      </c>
      <c r="C16" s="6" t="n">
        <v>830486</v>
      </c>
      <c r="D16" s="6" t="n">
        <v>838265</v>
      </c>
      <c r="E16" s="6" t="n">
        <v>841149</v>
      </c>
      <c r="F16" s="6" t="n">
        <v>841359</v>
      </c>
      <c r="G16" s="6" t="n">
        <v>840070</v>
      </c>
      <c r="H16" s="6" t="n">
        <v>839702</v>
      </c>
      <c r="I16" s="6" t="n">
        <v>840932</v>
      </c>
      <c r="J16" s="6" t="n">
        <v>840387</v>
      </c>
      <c r="K16" s="6" t="n">
        <v>838982</v>
      </c>
      <c r="L16" s="6" t="n">
        <v>837103</v>
      </c>
      <c r="M16" s="6" t="n">
        <v>835453</v>
      </c>
      <c r="N16" s="6" t="n">
        <v>833924</v>
      </c>
      <c r="O16" s="6" t="n">
        <v>842295</v>
      </c>
    </row>
    <row r="17">
      <c r="A17" s="5" t="inlineStr">
        <is>
          <t>Alares</t>
        </is>
      </c>
      <c r="B17" s="2" t="inlineStr">
        <is>
          <t>ALARES</t>
        </is>
      </c>
      <c r="C17" s="6" t="n">
        <v>797058</v>
      </c>
      <c r="D17" s="6" t="n">
        <v>823511</v>
      </c>
      <c r="E17" s="6" t="n">
        <v>822748</v>
      </c>
      <c r="F17" s="6" t="n">
        <v>821993</v>
      </c>
      <c r="G17" s="6" t="n">
        <v>796462</v>
      </c>
      <c r="H17" s="6" t="n">
        <v>795092</v>
      </c>
      <c r="I17" s="6" t="n">
        <v>794407</v>
      </c>
      <c r="J17" s="6" t="n">
        <v>793085</v>
      </c>
      <c r="K17" s="6" t="n">
        <v>790686</v>
      </c>
      <c r="L17" s="6" t="n">
        <v>787121</v>
      </c>
      <c r="M17" s="6" t="n">
        <v>802523</v>
      </c>
      <c r="N17" s="6" t="n">
        <v>798113</v>
      </c>
      <c r="O17" s="6" t="n">
        <v>792168</v>
      </c>
    </row>
    <row r="18">
      <c r="A18" s="5" t="inlineStr">
        <is>
          <t>Sky/Zaaz</t>
        </is>
      </c>
      <c r="B18" s="2" t="inlineStr">
        <is>
          <t>SKY/ZAAZ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480931</v>
      </c>
      <c r="H18" s="6" t="n">
        <v>493856</v>
      </c>
      <c r="I18" s="6" t="n">
        <v>494389</v>
      </c>
      <c r="J18" s="6" t="n">
        <v>494503</v>
      </c>
      <c r="K18" s="6" t="n">
        <v>495370</v>
      </c>
      <c r="L18" s="6" t="n">
        <v>502746</v>
      </c>
      <c r="M18" s="6" t="n">
        <v>623074</v>
      </c>
      <c r="N18" s="6" t="n">
        <v>626745</v>
      </c>
      <c r="O18" s="6" t="n">
        <v>626839</v>
      </c>
    </row>
    <row r="19">
      <c r="A19" s="5" t="inlineStr">
        <is>
          <t>Ligga Telecom</t>
        </is>
      </c>
      <c r="B19" s="2" t="inlineStr">
        <is>
          <t>LIGGA TELECOM</t>
        </is>
      </c>
      <c r="C19" s="6" t="n">
        <v>342108</v>
      </c>
      <c r="D19" s="6" t="n">
        <v>343346</v>
      </c>
      <c r="E19" s="6" t="n">
        <v>343687</v>
      </c>
      <c r="F19" s="6" t="n">
        <v>343906</v>
      </c>
      <c r="G19" s="6" t="n">
        <v>345809</v>
      </c>
      <c r="H19" s="6" t="n">
        <v>347472</v>
      </c>
      <c r="I19" s="6" t="n">
        <v>349117</v>
      </c>
      <c r="J19" s="6" t="n">
        <v>350284</v>
      </c>
      <c r="K19" s="6" t="n">
        <v>351054</v>
      </c>
      <c r="L19" s="6" t="n">
        <v>350503</v>
      </c>
      <c r="M19" s="6" t="n">
        <v>351039</v>
      </c>
      <c r="N19" s="6" t="n">
        <v>354443</v>
      </c>
      <c r="O19" s="6" t="n">
        <v>347940</v>
      </c>
    </row>
    <row r="20">
      <c r="A20" s="5" t="inlineStr">
        <is>
          <t>Demais grupos</t>
        </is>
      </c>
      <c r="B20" s="2" t="inlineStr">
        <is>
          <t>DEMAIS GRUPOS</t>
        </is>
      </c>
      <c r="C20" s="6" t="n">
        <v>744597</v>
      </c>
      <c r="D20" s="6" t="n">
        <v>742116</v>
      </c>
      <c r="E20" s="6" t="n">
        <v>739135</v>
      </c>
      <c r="F20" s="6" t="n">
        <v>735512</v>
      </c>
      <c r="G20" s="6" t="n">
        <v>514666</v>
      </c>
      <c r="H20" s="6" t="n">
        <v>514881</v>
      </c>
      <c r="I20" s="6" t="n">
        <v>517386</v>
      </c>
      <c r="J20" s="6" t="n">
        <v>482876</v>
      </c>
      <c r="K20" s="6" t="n">
        <v>482931</v>
      </c>
      <c r="L20" s="6" t="n">
        <v>473553</v>
      </c>
      <c r="M20" s="6" t="n">
        <v>473126</v>
      </c>
      <c r="N20" s="6" t="n">
        <v>449701</v>
      </c>
      <c r="O20" s="6" t="n">
        <v>473879</v>
      </c>
    </row>
    <row r="21">
      <c r="A21" s="7" t="inlineStr">
        <is>
          <t>Total</t>
        </is>
      </c>
      <c r="C21" s="8">
        <f>SUM(C5:C20)</f>
        <v/>
      </c>
      <c r="D21" s="8">
        <f>SUM(D5:D20)</f>
        <v/>
      </c>
      <c r="E21" s="8">
        <f>SUM(E5:E20)</f>
        <v/>
      </c>
      <c r="F21" s="8">
        <f>SUM(F5:F20)</f>
        <v/>
      </c>
      <c r="G21" s="8">
        <f>SUM(G5:G20)</f>
        <v/>
      </c>
      <c r="H21" s="8">
        <f>SUM(H5:H20)</f>
        <v/>
      </c>
      <c r="I21" s="8">
        <f>SUM(I5:I20)</f>
        <v/>
      </c>
      <c r="J21" s="8">
        <f>SUM(J5:J20)</f>
        <v/>
      </c>
      <c r="K21" s="8">
        <f>SUM(K5:K20)</f>
        <v/>
      </c>
      <c r="L21" s="8">
        <f>SUM(L5:L20)</f>
        <v/>
      </c>
      <c r="M21" s="8">
        <f>SUM(M5:M20)</f>
        <v/>
      </c>
      <c r="N21" s="8">
        <f>SUM(N5:N20)</f>
        <v/>
      </c>
      <c r="O21" s="8">
        <f>SUM(O5:O20)</f>
        <v/>
      </c>
    </row>
    <row r="23">
      <c r="A23" s="3" t="inlineStr">
        <is>
          <t>Market share</t>
        </is>
      </c>
      <c r="B23" s="3" t="inlineStr">
        <is>
          <t>Grupo (rótulo Anatel)</t>
        </is>
      </c>
      <c r="C23" s="4" t="inlineStr">
        <is>
          <t>09/25</t>
        </is>
      </c>
      <c r="D23" s="4" t="inlineStr">
        <is>
          <t>10/25</t>
        </is>
      </c>
      <c r="E23" s="4" t="inlineStr">
        <is>
          <t>11/25</t>
        </is>
      </c>
      <c r="F23" s="4" t="inlineStr">
        <is>
          <t>12/25</t>
        </is>
      </c>
      <c r="G23" s="4" t="inlineStr">
        <is>
          <t>01/26</t>
        </is>
      </c>
      <c r="H23" s="4" t="inlineStr">
        <is>
          <t>02/26</t>
        </is>
      </c>
      <c r="I23" s="4" t="inlineStr">
        <is>
          <t>03/26</t>
        </is>
      </c>
      <c r="J23" s="4" t="inlineStr">
        <is>
          <t>04/26</t>
        </is>
      </c>
      <c r="K23" s="4" t="inlineStr">
        <is>
          <t>05/26</t>
        </is>
      </c>
      <c r="L23" s="4" t="inlineStr">
        <is>
          <t>06/26</t>
        </is>
      </c>
      <c r="M23" s="4" t="inlineStr">
        <is>
          <t>07/26</t>
        </is>
      </c>
      <c r="N23" s="4" t="inlineStr">
        <is>
          <t>08/26</t>
        </is>
      </c>
      <c r="O23" s="4" t="inlineStr">
        <is>
          <t>09/26</t>
        </is>
      </c>
    </row>
    <row r="24">
      <c r="A24" s="5">
        <f>A5</f>
        <v/>
      </c>
      <c r="B24" s="2">
        <f>B5</f>
        <v/>
      </c>
      <c r="C24" s="9">
        <f>IF(C$21=0,0,C5/C$21)</f>
        <v/>
      </c>
      <c r="D24" s="9">
        <f>IF(D$21=0,0,D5/D$21)</f>
        <v/>
      </c>
      <c r="E24" s="9">
        <f>IF(E$21=0,0,E5/E$21)</f>
        <v/>
      </c>
      <c r="F24" s="9">
        <f>IF(F$21=0,0,F5/F$21)</f>
        <v/>
      </c>
      <c r="G24" s="9">
        <f>IF(G$21=0,0,G5/G$21)</f>
        <v/>
      </c>
      <c r="H24" s="9">
        <f>IF(H$21=0,0,H5/H$21)</f>
        <v/>
      </c>
      <c r="I24" s="9">
        <f>IF(I$21=0,0,I5/I$21)</f>
        <v/>
      </c>
      <c r="J24" s="9">
        <f>IF(J$21=0,0,J5/J$21)</f>
        <v/>
      </c>
      <c r="K24" s="9">
        <f>IF(K$21=0,0,K5/K$21)</f>
        <v/>
      </c>
      <c r="L24" s="9">
        <f>IF(L$21=0,0,L5/L$21)</f>
        <v/>
      </c>
      <c r="M24" s="9">
        <f>IF(M$21=0,0,M5/M$21)</f>
        <v/>
      </c>
      <c r="N24" s="9">
        <f>IF(N$21=0,0,N5/N$21)</f>
        <v/>
      </c>
      <c r="O24" s="9">
        <f>IF(O$21=0,0,O5/O$21)</f>
        <v/>
      </c>
    </row>
    <row r="25">
      <c r="A25" s="5">
        <f>A6</f>
        <v/>
      </c>
      <c r="B25" s="2">
        <f>B6</f>
        <v/>
      </c>
      <c r="C25" s="9">
        <f>IF(C$21=0,0,C6/C$21)</f>
        <v/>
      </c>
      <c r="D25" s="9">
        <f>IF(D$21=0,0,D6/D$21)</f>
        <v/>
      </c>
      <c r="E25" s="9">
        <f>IF(E$21=0,0,E6/E$21)</f>
        <v/>
      </c>
      <c r="F25" s="9">
        <f>IF(F$21=0,0,F6/F$21)</f>
        <v/>
      </c>
      <c r="G25" s="9">
        <f>IF(G$21=0,0,G6/G$21)</f>
        <v/>
      </c>
      <c r="H25" s="9">
        <f>IF(H$21=0,0,H6/H$21)</f>
        <v/>
      </c>
      <c r="I25" s="9">
        <f>IF(I$21=0,0,I6/I$21)</f>
        <v/>
      </c>
      <c r="J25" s="9">
        <f>IF(J$21=0,0,J6/J$21)</f>
        <v/>
      </c>
      <c r="K25" s="9">
        <f>IF(K$21=0,0,K6/K$21)</f>
        <v/>
      </c>
      <c r="L25" s="9">
        <f>IF(L$21=0,0,L6/L$21)</f>
        <v/>
      </c>
      <c r="M25" s="9">
        <f>IF(M$21=0,0,M6/M$21)</f>
        <v/>
      </c>
      <c r="N25" s="9">
        <f>IF(N$21=0,0,N6/N$21)</f>
        <v/>
      </c>
      <c r="O25" s="9">
        <f>IF(O$21=0,0,O6/O$21)</f>
        <v/>
      </c>
    </row>
    <row r="26">
      <c r="A26" s="5">
        <f>A7</f>
        <v/>
      </c>
      <c r="B26" s="2">
        <f>B7</f>
        <v/>
      </c>
      <c r="C26" s="9">
        <f>IF(C$21=0,0,C7/C$21)</f>
        <v/>
      </c>
      <c r="D26" s="9">
        <f>IF(D$21=0,0,D7/D$21)</f>
        <v/>
      </c>
      <c r="E26" s="9">
        <f>IF(E$21=0,0,E7/E$21)</f>
        <v/>
      </c>
      <c r="F26" s="9">
        <f>IF(F$21=0,0,F7/F$21)</f>
        <v/>
      </c>
      <c r="G26" s="9">
        <f>IF(G$21=0,0,G7/G$21)</f>
        <v/>
      </c>
      <c r="H26" s="9">
        <f>IF(H$21=0,0,H7/H$21)</f>
        <v/>
      </c>
      <c r="I26" s="9">
        <f>IF(I$21=0,0,I7/I$21)</f>
        <v/>
      </c>
      <c r="J26" s="9">
        <f>IF(J$21=0,0,J7/J$21)</f>
        <v/>
      </c>
      <c r="K26" s="9">
        <f>IF(K$21=0,0,K7/K$21)</f>
        <v/>
      </c>
      <c r="L26" s="9">
        <f>IF(L$21=0,0,L7/L$21)</f>
        <v/>
      </c>
      <c r="M26" s="9">
        <f>IF(M$21=0,0,M7/M$21)</f>
        <v/>
      </c>
      <c r="N26" s="9">
        <f>IF(N$21=0,0,N7/N$21)</f>
        <v/>
      </c>
      <c r="O26" s="9">
        <f>IF(O$21=0,0,O7/O$21)</f>
        <v/>
      </c>
    </row>
    <row r="27">
      <c r="A27" s="5">
        <f>A8</f>
        <v/>
      </c>
      <c r="B27" s="2">
        <f>B8</f>
        <v/>
      </c>
      <c r="C27" s="9">
        <f>IF(C$21=0,0,C8/C$21)</f>
        <v/>
      </c>
      <c r="D27" s="9">
        <f>IF(D$21=0,0,D8/D$21)</f>
        <v/>
      </c>
      <c r="E27" s="9">
        <f>IF(E$21=0,0,E8/E$21)</f>
        <v/>
      </c>
      <c r="F27" s="9">
        <f>IF(F$21=0,0,F8/F$21)</f>
        <v/>
      </c>
      <c r="G27" s="9">
        <f>IF(G$21=0,0,G8/G$21)</f>
        <v/>
      </c>
      <c r="H27" s="9">
        <f>IF(H$21=0,0,H8/H$21)</f>
        <v/>
      </c>
      <c r="I27" s="9">
        <f>IF(I$21=0,0,I8/I$21)</f>
        <v/>
      </c>
      <c r="J27" s="9">
        <f>IF(J$21=0,0,J8/J$21)</f>
        <v/>
      </c>
      <c r="K27" s="9">
        <f>IF(K$21=0,0,K8/K$21)</f>
        <v/>
      </c>
      <c r="L27" s="9">
        <f>IF(L$21=0,0,L8/L$21)</f>
        <v/>
      </c>
      <c r="M27" s="9">
        <f>IF(M$21=0,0,M8/M$21)</f>
        <v/>
      </c>
      <c r="N27" s="9">
        <f>IF(N$21=0,0,N8/N$21)</f>
        <v/>
      </c>
      <c r="O27" s="9">
        <f>IF(O$21=0,0,O8/O$21)</f>
        <v/>
      </c>
    </row>
    <row r="28">
      <c r="A28" s="5">
        <f>A9</f>
        <v/>
      </c>
      <c r="B28" s="2">
        <f>B9</f>
        <v/>
      </c>
      <c r="C28" s="9">
        <f>IF(C$21=0,0,C9/C$21)</f>
        <v/>
      </c>
      <c r="D28" s="9">
        <f>IF(D$21=0,0,D9/D$21)</f>
        <v/>
      </c>
      <c r="E28" s="9">
        <f>IF(E$21=0,0,E9/E$21)</f>
        <v/>
      </c>
      <c r="F28" s="9">
        <f>IF(F$21=0,0,F9/F$21)</f>
        <v/>
      </c>
      <c r="G28" s="9">
        <f>IF(G$21=0,0,G9/G$21)</f>
        <v/>
      </c>
      <c r="H28" s="9">
        <f>IF(H$21=0,0,H9/H$21)</f>
        <v/>
      </c>
      <c r="I28" s="9">
        <f>IF(I$21=0,0,I9/I$21)</f>
        <v/>
      </c>
      <c r="J28" s="9">
        <f>IF(J$21=0,0,J9/J$21)</f>
        <v/>
      </c>
      <c r="K28" s="9">
        <f>IF(K$21=0,0,K9/K$21)</f>
        <v/>
      </c>
      <c r="L28" s="9">
        <f>IF(L$21=0,0,L9/L$21)</f>
        <v/>
      </c>
      <c r="M28" s="9">
        <f>IF(M$21=0,0,M9/M$21)</f>
        <v/>
      </c>
      <c r="N28" s="9">
        <f>IF(N$21=0,0,N9/N$21)</f>
        <v/>
      </c>
      <c r="O28" s="9">
        <f>IF(O$21=0,0,O9/O$21)</f>
        <v/>
      </c>
    </row>
    <row r="29">
      <c r="A29" s="5">
        <f>A10</f>
        <v/>
      </c>
      <c r="B29" s="2">
        <f>B10</f>
        <v/>
      </c>
      <c r="C29" s="9">
        <f>IF(C$21=0,0,C10/C$21)</f>
        <v/>
      </c>
      <c r="D29" s="9">
        <f>IF(D$21=0,0,D10/D$21)</f>
        <v/>
      </c>
      <c r="E29" s="9">
        <f>IF(E$21=0,0,E10/E$21)</f>
        <v/>
      </c>
      <c r="F29" s="9">
        <f>IF(F$21=0,0,F10/F$21)</f>
        <v/>
      </c>
      <c r="G29" s="9">
        <f>IF(G$21=0,0,G10/G$21)</f>
        <v/>
      </c>
      <c r="H29" s="9">
        <f>IF(H$21=0,0,H10/H$21)</f>
        <v/>
      </c>
      <c r="I29" s="9">
        <f>IF(I$21=0,0,I10/I$21)</f>
        <v/>
      </c>
      <c r="J29" s="9">
        <f>IF(J$21=0,0,J10/J$21)</f>
        <v/>
      </c>
      <c r="K29" s="9">
        <f>IF(K$21=0,0,K10/K$21)</f>
        <v/>
      </c>
      <c r="L29" s="9">
        <f>IF(L$21=0,0,L10/L$21)</f>
        <v/>
      </c>
      <c r="M29" s="9">
        <f>IF(M$21=0,0,M10/M$21)</f>
        <v/>
      </c>
      <c r="N29" s="9">
        <f>IF(N$21=0,0,N10/N$21)</f>
        <v/>
      </c>
      <c r="O29" s="9">
        <f>IF(O$21=0,0,O10/O$21)</f>
        <v/>
      </c>
    </row>
    <row r="30">
      <c r="A30" s="5">
        <f>A11</f>
        <v/>
      </c>
      <c r="B30" s="2">
        <f>B11</f>
        <v/>
      </c>
      <c r="C30" s="9">
        <f>IF(C$21=0,0,C11/C$21)</f>
        <v/>
      </c>
      <c r="D30" s="9">
        <f>IF(D$21=0,0,D11/D$21)</f>
        <v/>
      </c>
      <c r="E30" s="9">
        <f>IF(E$21=0,0,E11/E$21)</f>
        <v/>
      </c>
      <c r="F30" s="9">
        <f>IF(F$21=0,0,F11/F$21)</f>
        <v/>
      </c>
      <c r="G30" s="9">
        <f>IF(G$21=0,0,G11/G$21)</f>
        <v/>
      </c>
      <c r="H30" s="9">
        <f>IF(H$21=0,0,H11/H$21)</f>
        <v/>
      </c>
      <c r="I30" s="9">
        <f>IF(I$21=0,0,I11/I$21)</f>
        <v/>
      </c>
      <c r="J30" s="9">
        <f>IF(J$21=0,0,J11/J$21)</f>
        <v/>
      </c>
      <c r="K30" s="9">
        <f>IF(K$21=0,0,K11/K$21)</f>
        <v/>
      </c>
      <c r="L30" s="9">
        <f>IF(L$21=0,0,L11/L$21)</f>
        <v/>
      </c>
      <c r="M30" s="9">
        <f>IF(M$21=0,0,M11/M$21)</f>
        <v/>
      </c>
      <c r="N30" s="9">
        <f>IF(N$21=0,0,N11/N$21)</f>
        <v/>
      </c>
      <c r="O30" s="9">
        <f>IF(O$21=0,0,O11/O$21)</f>
        <v/>
      </c>
    </row>
    <row r="31">
      <c r="A31" s="5">
        <f>A12</f>
        <v/>
      </c>
      <c r="B31" s="2">
        <f>B12</f>
        <v/>
      </c>
      <c r="C31" s="9">
        <f>IF(C$21=0,0,C12/C$21)</f>
        <v/>
      </c>
      <c r="D31" s="9">
        <f>IF(D$21=0,0,D12/D$21)</f>
        <v/>
      </c>
      <c r="E31" s="9">
        <f>IF(E$21=0,0,E12/E$21)</f>
        <v/>
      </c>
      <c r="F31" s="9">
        <f>IF(F$21=0,0,F12/F$21)</f>
        <v/>
      </c>
      <c r="G31" s="9">
        <f>IF(G$21=0,0,G12/G$21)</f>
        <v/>
      </c>
      <c r="H31" s="9">
        <f>IF(H$21=0,0,H12/H$21)</f>
        <v/>
      </c>
      <c r="I31" s="9">
        <f>IF(I$21=0,0,I12/I$21)</f>
        <v/>
      </c>
      <c r="J31" s="9">
        <f>IF(J$21=0,0,J12/J$21)</f>
        <v/>
      </c>
      <c r="K31" s="9">
        <f>IF(K$21=0,0,K12/K$21)</f>
        <v/>
      </c>
      <c r="L31" s="9">
        <f>IF(L$21=0,0,L12/L$21)</f>
        <v/>
      </c>
      <c r="M31" s="9">
        <f>IF(M$21=0,0,M12/M$21)</f>
        <v/>
      </c>
      <c r="N31" s="9">
        <f>IF(N$21=0,0,N12/N$21)</f>
        <v/>
      </c>
      <c r="O31" s="9">
        <f>IF(O$21=0,0,O12/O$21)</f>
        <v/>
      </c>
    </row>
    <row r="32">
      <c r="A32" s="5">
        <f>A13</f>
        <v/>
      </c>
      <c r="B32" s="2">
        <f>B13</f>
        <v/>
      </c>
      <c r="C32" s="9">
        <f>IF(C$21=0,0,C13/C$21)</f>
        <v/>
      </c>
      <c r="D32" s="9">
        <f>IF(D$21=0,0,D13/D$21)</f>
        <v/>
      </c>
      <c r="E32" s="9">
        <f>IF(E$21=0,0,E13/E$21)</f>
        <v/>
      </c>
      <c r="F32" s="9">
        <f>IF(F$21=0,0,F13/F$21)</f>
        <v/>
      </c>
      <c r="G32" s="9">
        <f>IF(G$21=0,0,G13/G$21)</f>
        <v/>
      </c>
      <c r="H32" s="9">
        <f>IF(H$21=0,0,H13/H$21)</f>
        <v/>
      </c>
      <c r="I32" s="9">
        <f>IF(I$21=0,0,I13/I$21)</f>
        <v/>
      </c>
      <c r="J32" s="9">
        <f>IF(J$21=0,0,J13/J$21)</f>
        <v/>
      </c>
      <c r="K32" s="9">
        <f>IF(K$21=0,0,K13/K$21)</f>
        <v/>
      </c>
      <c r="L32" s="9">
        <f>IF(L$21=0,0,L13/L$21)</f>
        <v/>
      </c>
      <c r="M32" s="9">
        <f>IF(M$21=0,0,M13/M$21)</f>
        <v/>
      </c>
      <c r="N32" s="9">
        <f>IF(N$21=0,0,N13/N$21)</f>
        <v/>
      </c>
      <c r="O32" s="9">
        <f>IF(O$21=0,0,O13/O$21)</f>
        <v/>
      </c>
    </row>
    <row r="33">
      <c r="A33" s="5">
        <f>A14</f>
        <v/>
      </c>
      <c r="B33" s="2">
        <f>B14</f>
        <v/>
      </c>
      <c r="C33" s="9">
        <f>IF(C$21=0,0,C14/C$21)</f>
        <v/>
      </c>
      <c r="D33" s="9">
        <f>IF(D$21=0,0,D14/D$21)</f>
        <v/>
      </c>
      <c r="E33" s="9">
        <f>IF(E$21=0,0,E14/E$21)</f>
        <v/>
      </c>
      <c r="F33" s="9">
        <f>IF(F$21=0,0,F14/F$21)</f>
        <v/>
      </c>
      <c r="G33" s="9">
        <f>IF(G$21=0,0,G14/G$21)</f>
        <v/>
      </c>
      <c r="H33" s="9">
        <f>IF(H$21=0,0,H14/H$21)</f>
        <v/>
      </c>
      <c r="I33" s="9">
        <f>IF(I$21=0,0,I14/I$21)</f>
        <v/>
      </c>
      <c r="J33" s="9">
        <f>IF(J$21=0,0,J14/J$21)</f>
        <v/>
      </c>
      <c r="K33" s="9">
        <f>IF(K$21=0,0,K14/K$21)</f>
        <v/>
      </c>
      <c r="L33" s="9">
        <f>IF(L$21=0,0,L14/L$21)</f>
        <v/>
      </c>
      <c r="M33" s="9">
        <f>IF(M$21=0,0,M14/M$21)</f>
        <v/>
      </c>
      <c r="N33" s="9">
        <f>IF(N$21=0,0,N14/N$21)</f>
        <v/>
      </c>
      <c r="O33" s="9">
        <f>IF(O$21=0,0,O14/O$21)</f>
        <v/>
      </c>
    </row>
    <row r="34">
      <c r="A34" s="5">
        <f>A15</f>
        <v/>
      </c>
      <c r="B34" s="2">
        <f>B15</f>
        <v/>
      </c>
      <c r="C34" s="9">
        <f>IF(C$21=0,0,C15/C$21)</f>
        <v/>
      </c>
      <c r="D34" s="9">
        <f>IF(D$21=0,0,D15/D$21)</f>
        <v/>
      </c>
      <c r="E34" s="9">
        <f>IF(E$21=0,0,E15/E$21)</f>
        <v/>
      </c>
      <c r="F34" s="9">
        <f>IF(F$21=0,0,F15/F$21)</f>
        <v/>
      </c>
      <c r="G34" s="9">
        <f>IF(G$21=0,0,G15/G$21)</f>
        <v/>
      </c>
      <c r="H34" s="9">
        <f>IF(H$21=0,0,H15/H$21)</f>
        <v/>
      </c>
      <c r="I34" s="9">
        <f>IF(I$21=0,0,I15/I$21)</f>
        <v/>
      </c>
      <c r="J34" s="9">
        <f>IF(J$21=0,0,J15/J$21)</f>
        <v/>
      </c>
      <c r="K34" s="9">
        <f>IF(K$21=0,0,K15/K$21)</f>
        <v/>
      </c>
      <c r="L34" s="9">
        <f>IF(L$21=0,0,L15/L$21)</f>
        <v/>
      </c>
      <c r="M34" s="9">
        <f>IF(M$21=0,0,M15/M$21)</f>
        <v/>
      </c>
      <c r="N34" s="9">
        <f>IF(N$21=0,0,N15/N$21)</f>
        <v/>
      </c>
      <c r="O34" s="9">
        <f>IF(O$21=0,0,O15/O$21)</f>
        <v/>
      </c>
    </row>
    <row r="35">
      <c r="A35" s="5">
        <f>A16</f>
        <v/>
      </c>
      <c r="B35" s="2">
        <f>B16</f>
        <v/>
      </c>
      <c r="C35" s="9">
        <f>IF(C$21=0,0,C16/C$21)</f>
        <v/>
      </c>
      <c r="D35" s="9">
        <f>IF(D$21=0,0,D16/D$21)</f>
        <v/>
      </c>
      <c r="E35" s="9">
        <f>IF(E$21=0,0,E16/E$21)</f>
        <v/>
      </c>
      <c r="F35" s="9">
        <f>IF(F$21=0,0,F16/F$21)</f>
        <v/>
      </c>
      <c r="G35" s="9">
        <f>IF(G$21=0,0,G16/G$21)</f>
        <v/>
      </c>
      <c r="H35" s="9">
        <f>IF(H$21=0,0,H16/H$21)</f>
        <v/>
      </c>
      <c r="I35" s="9">
        <f>IF(I$21=0,0,I16/I$21)</f>
        <v/>
      </c>
      <c r="J35" s="9">
        <f>IF(J$21=0,0,J16/J$21)</f>
        <v/>
      </c>
      <c r="K35" s="9">
        <f>IF(K$21=0,0,K16/K$21)</f>
        <v/>
      </c>
      <c r="L35" s="9">
        <f>IF(L$21=0,0,L16/L$21)</f>
        <v/>
      </c>
      <c r="M35" s="9">
        <f>IF(M$21=0,0,M16/M$21)</f>
        <v/>
      </c>
      <c r="N35" s="9">
        <f>IF(N$21=0,0,N16/N$21)</f>
        <v/>
      </c>
      <c r="O35" s="9">
        <f>IF(O$21=0,0,O16/O$21)</f>
        <v/>
      </c>
    </row>
    <row r="36">
      <c r="A36" s="5">
        <f>A17</f>
        <v/>
      </c>
      <c r="B36" s="2">
        <f>B17</f>
        <v/>
      </c>
      <c r="C36" s="9">
        <f>IF(C$21=0,0,C17/C$21)</f>
        <v/>
      </c>
      <c r="D36" s="9">
        <f>IF(D$21=0,0,D17/D$21)</f>
        <v/>
      </c>
      <c r="E36" s="9">
        <f>IF(E$21=0,0,E17/E$21)</f>
        <v/>
      </c>
      <c r="F36" s="9">
        <f>IF(F$21=0,0,F17/F$21)</f>
        <v/>
      </c>
      <c r="G36" s="9">
        <f>IF(G$21=0,0,G17/G$21)</f>
        <v/>
      </c>
      <c r="H36" s="9">
        <f>IF(H$21=0,0,H17/H$21)</f>
        <v/>
      </c>
      <c r="I36" s="9">
        <f>IF(I$21=0,0,I17/I$21)</f>
        <v/>
      </c>
      <c r="J36" s="9">
        <f>IF(J$21=0,0,J17/J$21)</f>
        <v/>
      </c>
      <c r="K36" s="9">
        <f>IF(K$21=0,0,K17/K$21)</f>
        <v/>
      </c>
      <c r="L36" s="9">
        <f>IF(L$21=0,0,L17/L$21)</f>
        <v/>
      </c>
      <c r="M36" s="9">
        <f>IF(M$21=0,0,M17/M$21)</f>
        <v/>
      </c>
      <c r="N36" s="9">
        <f>IF(N$21=0,0,N17/N$21)</f>
        <v/>
      </c>
      <c r="O36" s="9">
        <f>IF(O$21=0,0,O17/O$21)</f>
        <v/>
      </c>
    </row>
    <row r="37">
      <c r="A37" s="5">
        <f>A18</f>
        <v/>
      </c>
      <c r="B37" s="2">
        <f>B18</f>
        <v/>
      </c>
      <c r="C37" s="9">
        <f>IF(C$21=0,0,C18/C$21)</f>
        <v/>
      </c>
      <c r="D37" s="9">
        <f>IF(D$21=0,0,D18/D$21)</f>
        <v/>
      </c>
      <c r="E37" s="9">
        <f>IF(E$21=0,0,E18/E$21)</f>
        <v/>
      </c>
      <c r="F37" s="9">
        <f>IF(F$21=0,0,F18/F$21)</f>
        <v/>
      </c>
      <c r="G37" s="9">
        <f>IF(G$21=0,0,G18/G$21)</f>
        <v/>
      </c>
      <c r="H37" s="9">
        <f>IF(H$21=0,0,H18/H$21)</f>
        <v/>
      </c>
      <c r="I37" s="9">
        <f>IF(I$21=0,0,I18/I$21)</f>
        <v/>
      </c>
      <c r="J37" s="9">
        <f>IF(J$21=0,0,J18/J$21)</f>
        <v/>
      </c>
      <c r="K37" s="9">
        <f>IF(K$21=0,0,K18/K$21)</f>
        <v/>
      </c>
      <c r="L37" s="9">
        <f>IF(L$21=0,0,L18/L$21)</f>
        <v/>
      </c>
      <c r="M37" s="9">
        <f>IF(M$21=0,0,M18/M$21)</f>
        <v/>
      </c>
      <c r="N37" s="9">
        <f>IF(N$21=0,0,N18/N$21)</f>
        <v/>
      </c>
      <c r="O37" s="9">
        <f>IF(O$21=0,0,O18/O$21)</f>
        <v/>
      </c>
    </row>
    <row r="38">
      <c r="A38" s="5">
        <f>A19</f>
        <v/>
      </c>
      <c r="B38" s="2">
        <f>B19</f>
        <v/>
      </c>
      <c r="C38" s="9">
        <f>IF(C$21=0,0,C19/C$21)</f>
        <v/>
      </c>
      <c r="D38" s="9">
        <f>IF(D$21=0,0,D19/D$21)</f>
        <v/>
      </c>
      <c r="E38" s="9">
        <f>IF(E$21=0,0,E19/E$21)</f>
        <v/>
      </c>
      <c r="F38" s="9">
        <f>IF(F$21=0,0,F19/F$21)</f>
        <v/>
      </c>
      <c r="G38" s="9">
        <f>IF(G$21=0,0,G19/G$21)</f>
        <v/>
      </c>
      <c r="H38" s="9">
        <f>IF(H$21=0,0,H19/H$21)</f>
        <v/>
      </c>
      <c r="I38" s="9">
        <f>IF(I$21=0,0,I19/I$21)</f>
        <v/>
      </c>
      <c r="J38" s="9">
        <f>IF(J$21=0,0,J19/J$21)</f>
        <v/>
      </c>
      <c r="K38" s="9">
        <f>IF(K$21=0,0,K19/K$21)</f>
        <v/>
      </c>
      <c r="L38" s="9">
        <f>IF(L$21=0,0,L19/L$21)</f>
        <v/>
      </c>
      <c r="M38" s="9">
        <f>IF(M$21=0,0,M19/M$21)</f>
        <v/>
      </c>
      <c r="N38" s="9">
        <f>IF(N$21=0,0,N19/N$21)</f>
        <v/>
      </c>
      <c r="O38" s="9">
        <f>IF(O$21=0,0,O19/O$21)</f>
        <v/>
      </c>
    </row>
    <row r="39">
      <c r="A39" s="5">
        <f>A20</f>
        <v/>
      </c>
      <c r="B39" s="2">
        <f>B20</f>
        <v/>
      </c>
      <c r="C39" s="9">
        <f>IF(C$21=0,0,C20/C$21)</f>
        <v/>
      </c>
      <c r="D39" s="9">
        <f>IF(D$21=0,0,D20/D$21)</f>
        <v/>
      </c>
      <c r="E39" s="9">
        <f>IF(E$21=0,0,E20/E$21)</f>
        <v/>
      </c>
      <c r="F39" s="9">
        <f>IF(F$21=0,0,F20/F$21)</f>
        <v/>
      </c>
      <c r="G39" s="9">
        <f>IF(G$21=0,0,G20/G$21)</f>
        <v/>
      </c>
      <c r="H39" s="9">
        <f>IF(H$21=0,0,H20/H$21)</f>
        <v/>
      </c>
      <c r="I39" s="9">
        <f>IF(I$21=0,0,I20/I$21)</f>
        <v/>
      </c>
      <c r="J39" s="9">
        <f>IF(J$21=0,0,J20/J$21)</f>
        <v/>
      </c>
      <c r="K39" s="9">
        <f>IF(K$21=0,0,K20/K$21)</f>
        <v/>
      </c>
      <c r="L39" s="9">
        <f>IF(L$21=0,0,L20/L$21)</f>
        <v/>
      </c>
      <c r="M39" s="9">
        <f>IF(M$21=0,0,M20/M$21)</f>
        <v/>
      </c>
      <c r="N39" s="9">
        <f>IF(N$21=0,0,N20/N$21)</f>
        <v/>
      </c>
      <c r="O39" s="9">
        <f>IF(O$21=0,0,O20/O$21)</f>
        <v/>
      </c>
    </row>
    <row r="40">
      <c r="A40" s="7">
        <f>A21</f>
        <v/>
      </c>
      <c r="C40" s="10">
        <f>IF(C$21=0,0,C21/C$21)</f>
        <v/>
      </c>
      <c r="D40" s="10">
        <f>IF(D$21=0,0,D21/D$21)</f>
        <v/>
      </c>
      <c r="E40" s="10">
        <f>IF(E$21=0,0,E21/E$21)</f>
        <v/>
      </c>
      <c r="F40" s="10">
        <f>IF(F$21=0,0,F21/F$21)</f>
        <v/>
      </c>
      <c r="G40" s="10">
        <f>IF(G$21=0,0,G21/G$21)</f>
        <v/>
      </c>
      <c r="H40" s="10">
        <f>IF(H$21=0,0,H21/H$21)</f>
        <v/>
      </c>
      <c r="I40" s="10">
        <f>IF(I$21=0,0,I21/I$21)</f>
        <v/>
      </c>
      <c r="J40" s="10">
        <f>IF(J$21=0,0,J21/J$21)</f>
        <v/>
      </c>
      <c r="K40" s="10">
        <f>IF(K$21=0,0,K21/K$21)</f>
        <v/>
      </c>
      <c r="L40" s="10">
        <f>IF(L$21=0,0,L21/L$21)</f>
        <v/>
      </c>
      <c r="M40" s="10">
        <f>IF(M$21=0,0,M21/M$21)</f>
        <v/>
      </c>
      <c r="N40" s="10">
        <f>IF(N$21=0,0,N21/N$21)</f>
        <v/>
      </c>
      <c r="O40" s="10">
        <f>IF(O$21=0,0,O21/O$21)</f>
        <v/>
      </c>
    </row>
    <row r="42">
      <c r="A42" s="3" t="inlineStr">
        <is>
          <t>Adições líquidas (m/m)</t>
        </is>
      </c>
      <c r="B42" s="3" t="inlineStr">
        <is>
          <t>Grupo (rótulo Anatel)</t>
        </is>
      </c>
      <c r="C42" s="4" t="inlineStr">
        <is>
          <t>09/25</t>
        </is>
      </c>
      <c r="D42" s="4" t="inlineStr">
        <is>
          <t>10/25</t>
        </is>
      </c>
      <c r="E42" s="4" t="inlineStr">
        <is>
          <t>11/25</t>
        </is>
      </c>
      <c r="F42" s="4" t="inlineStr">
        <is>
          <t>12/25</t>
        </is>
      </c>
      <c r="G42" s="4" t="inlineStr">
        <is>
          <t>01/26</t>
        </is>
      </c>
      <c r="H42" s="4" t="inlineStr">
        <is>
          <t>02/26</t>
        </is>
      </c>
      <c r="I42" s="4" t="inlineStr">
        <is>
          <t>03/26</t>
        </is>
      </c>
      <c r="J42" s="4" t="inlineStr">
        <is>
          <t>04/26</t>
        </is>
      </c>
      <c r="K42" s="4" t="inlineStr">
        <is>
          <t>05/26</t>
        </is>
      </c>
      <c r="L42" s="4" t="inlineStr">
        <is>
          <t>06/26</t>
        </is>
      </c>
      <c r="M42" s="4" t="inlineStr">
        <is>
          <t>07/26</t>
        </is>
      </c>
      <c r="N42" s="4" t="inlineStr">
        <is>
          <t>08/26</t>
        </is>
      </c>
      <c r="O42" s="4" t="inlineStr">
        <is>
          <t>09/26</t>
        </is>
      </c>
    </row>
    <row r="43">
      <c r="A43" s="5">
        <f>A5</f>
        <v/>
      </c>
      <c r="B43" s="2">
        <f>B5</f>
        <v/>
      </c>
      <c r="D43" s="11">
        <f>D5-C5</f>
        <v/>
      </c>
      <c r="E43" s="11">
        <f>E5-D5</f>
        <v/>
      </c>
      <c r="F43" s="11">
        <f>F5-E5</f>
        <v/>
      </c>
      <c r="G43" s="11">
        <f>G5-F5</f>
        <v/>
      </c>
      <c r="H43" s="11">
        <f>H5-G5</f>
        <v/>
      </c>
      <c r="I43" s="11">
        <f>I5-H5</f>
        <v/>
      </c>
      <c r="J43" s="11">
        <f>J5-I5</f>
        <v/>
      </c>
      <c r="K43" s="11">
        <f>K5-J5</f>
        <v/>
      </c>
      <c r="L43" s="11">
        <f>L5-K5</f>
        <v/>
      </c>
      <c r="M43" s="11">
        <f>M5-L5</f>
        <v/>
      </c>
      <c r="N43" s="11">
        <f>N5-M5</f>
        <v/>
      </c>
      <c r="O43" s="11">
        <f>O5-N5</f>
        <v/>
      </c>
    </row>
    <row r="44">
      <c r="A44" s="5">
        <f>A6</f>
        <v/>
      </c>
      <c r="B44" s="2">
        <f>B6</f>
        <v/>
      </c>
      <c r="D44" s="11">
        <f>D6-C6</f>
        <v/>
      </c>
      <c r="E44" s="11">
        <f>E6-D6</f>
        <v/>
      </c>
      <c r="F44" s="11">
        <f>F6-E6</f>
        <v/>
      </c>
      <c r="G44" s="11">
        <f>G6-F6</f>
        <v/>
      </c>
      <c r="H44" s="11">
        <f>H6-G6</f>
        <v/>
      </c>
      <c r="I44" s="11">
        <f>I6-H6</f>
        <v/>
      </c>
      <c r="J44" s="11">
        <f>J6-I6</f>
        <v/>
      </c>
      <c r="K44" s="11">
        <f>K6-J6</f>
        <v/>
      </c>
      <c r="L44" s="11">
        <f>L6-K6</f>
        <v/>
      </c>
      <c r="M44" s="11">
        <f>M6-L6</f>
        <v/>
      </c>
      <c r="N44" s="11">
        <f>N6-M6</f>
        <v/>
      </c>
      <c r="O44" s="11">
        <f>O6-N6</f>
        <v/>
      </c>
    </row>
    <row r="45">
      <c r="A45" s="5">
        <f>A7</f>
        <v/>
      </c>
      <c r="B45" s="2">
        <f>B7</f>
        <v/>
      </c>
      <c r="D45" s="11">
        <f>D7-C7</f>
        <v/>
      </c>
      <c r="E45" s="11">
        <f>E7-D7</f>
        <v/>
      </c>
      <c r="F45" s="11">
        <f>F7-E7</f>
        <v/>
      </c>
      <c r="G45" s="11">
        <f>G7-F7</f>
        <v/>
      </c>
      <c r="H45" s="11">
        <f>H7-G7</f>
        <v/>
      </c>
      <c r="I45" s="11">
        <f>I7-H7</f>
        <v/>
      </c>
      <c r="J45" s="11">
        <f>J7-I7</f>
        <v/>
      </c>
      <c r="K45" s="11">
        <f>K7-J7</f>
        <v/>
      </c>
      <c r="L45" s="11">
        <f>L7-K7</f>
        <v/>
      </c>
      <c r="M45" s="11">
        <f>M7-L7</f>
        <v/>
      </c>
      <c r="N45" s="11">
        <f>N7-M7</f>
        <v/>
      </c>
      <c r="O45" s="11">
        <f>O7-N7</f>
        <v/>
      </c>
    </row>
    <row r="46">
      <c r="A46" s="5">
        <f>A8</f>
        <v/>
      </c>
      <c r="B46" s="2">
        <f>B8</f>
        <v/>
      </c>
      <c r="D46" s="11">
        <f>D8-C8</f>
        <v/>
      </c>
      <c r="E46" s="11">
        <f>E8-D8</f>
        <v/>
      </c>
      <c r="F46" s="11">
        <f>F8-E8</f>
        <v/>
      </c>
      <c r="G46" s="11">
        <f>G8-F8</f>
        <v/>
      </c>
      <c r="H46" s="11">
        <f>H8-G8</f>
        <v/>
      </c>
      <c r="I46" s="11">
        <f>I8-H8</f>
        <v/>
      </c>
      <c r="J46" s="11">
        <f>J8-I8</f>
        <v/>
      </c>
      <c r="K46" s="11">
        <f>K8-J8</f>
        <v/>
      </c>
      <c r="L46" s="11">
        <f>L8-K8</f>
        <v/>
      </c>
      <c r="M46" s="11">
        <f>M8-L8</f>
        <v/>
      </c>
      <c r="N46" s="11">
        <f>N8-M8</f>
        <v/>
      </c>
      <c r="O46" s="11">
        <f>O8-N8</f>
        <v/>
      </c>
    </row>
    <row r="47">
      <c r="A47" s="5">
        <f>A9</f>
        <v/>
      </c>
      <c r="B47" s="2">
        <f>B9</f>
        <v/>
      </c>
      <c r="D47" s="11">
        <f>D9-C9</f>
        <v/>
      </c>
      <c r="E47" s="11">
        <f>E9-D9</f>
        <v/>
      </c>
      <c r="F47" s="11">
        <f>F9-E9</f>
        <v/>
      </c>
      <c r="G47" s="11">
        <f>G9-F9</f>
        <v/>
      </c>
      <c r="H47" s="11">
        <f>H9-G9</f>
        <v/>
      </c>
      <c r="I47" s="11">
        <f>I9-H9</f>
        <v/>
      </c>
      <c r="J47" s="11">
        <f>J9-I9</f>
        <v/>
      </c>
      <c r="K47" s="11">
        <f>K9-J9</f>
        <v/>
      </c>
      <c r="L47" s="11">
        <f>L9-K9</f>
        <v/>
      </c>
      <c r="M47" s="11">
        <f>M9-L9</f>
        <v/>
      </c>
      <c r="N47" s="11">
        <f>N9-M9</f>
        <v/>
      </c>
      <c r="O47" s="11">
        <f>O9-N9</f>
        <v/>
      </c>
    </row>
    <row r="48">
      <c r="A48" s="5">
        <f>A10</f>
        <v/>
      </c>
      <c r="B48" s="2">
        <f>B10</f>
        <v/>
      </c>
      <c r="D48" s="11">
        <f>D10-C10</f>
        <v/>
      </c>
      <c r="E48" s="11">
        <f>E10-D10</f>
        <v/>
      </c>
      <c r="F48" s="11">
        <f>F10-E10</f>
        <v/>
      </c>
      <c r="G48" s="11">
        <f>G10-F10</f>
        <v/>
      </c>
      <c r="H48" s="11">
        <f>H10-G10</f>
        <v/>
      </c>
      <c r="I48" s="11">
        <f>I10-H10</f>
        <v/>
      </c>
      <c r="J48" s="11">
        <f>J10-I10</f>
        <v/>
      </c>
      <c r="K48" s="11">
        <f>K10-J10</f>
        <v/>
      </c>
      <c r="L48" s="11">
        <f>L10-K10</f>
        <v/>
      </c>
      <c r="M48" s="11">
        <f>M10-L10</f>
        <v/>
      </c>
      <c r="N48" s="11">
        <f>N10-M10</f>
        <v/>
      </c>
      <c r="O48" s="11">
        <f>O10-N10</f>
        <v/>
      </c>
    </row>
    <row r="49">
      <c r="A49" s="5">
        <f>A11</f>
        <v/>
      </c>
      <c r="B49" s="2">
        <f>B11</f>
        <v/>
      </c>
      <c r="D49" s="11">
        <f>D11-C11</f>
        <v/>
      </c>
      <c r="E49" s="11">
        <f>E11-D11</f>
        <v/>
      </c>
      <c r="F49" s="11">
        <f>F11-E11</f>
        <v/>
      </c>
      <c r="G49" s="11">
        <f>G11-F11</f>
        <v/>
      </c>
      <c r="H49" s="11">
        <f>H11-G11</f>
        <v/>
      </c>
      <c r="I49" s="11">
        <f>I11-H11</f>
        <v/>
      </c>
      <c r="J49" s="11">
        <f>J11-I11</f>
        <v/>
      </c>
      <c r="K49" s="11">
        <f>K11-J11</f>
        <v/>
      </c>
      <c r="L49" s="11">
        <f>L11-K11</f>
        <v/>
      </c>
      <c r="M49" s="11">
        <f>M11-L11</f>
        <v/>
      </c>
      <c r="N49" s="11">
        <f>N11-M11</f>
        <v/>
      </c>
      <c r="O49" s="11">
        <f>O11-N11</f>
        <v/>
      </c>
    </row>
    <row r="50">
      <c r="A50" s="5">
        <f>A12</f>
        <v/>
      </c>
      <c r="B50" s="2">
        <f>B12</f>
        <v/>
      </c>
      <c r="D50" s="11">
        <f>D12-C12</f>
        <v/>
      </c>
      <c r="E50" s="11">
        <f>E12-D12</f>
        <v/>
      </c>
      <c r="F50" s="11">
        <f>F12-E12</f>
        <v/>
      </c>
      <c r="G50" s="11">
        <f>G12-F12</f>
        <v/>
      </c>
      <c r="H50" s="11">
        <f>H12-G12</f>
        <v/>
      </c>
      <c r="I50" s="11">
        <f>I12-H12</f>
        <v/>
      </c>
      <c r="J50" s="11">
        <f>J12-I12</f>
        <v/>
      </c>
      <c r="K50" s="11">
        <f>K12-J12</f>
        <v/>
      </c>
      <c r="L50" s="11">
        <f>L12-K12</f>
        <v/>
      </c>
      <c r="M50" s="11">
        <f>M12-L12</f>
        <v/>
      </c>
      <c r="N50" s="11">
        <f>N12-M12</f>
        <v/>
      </c>
      <c r="O50" s="11">
        <f>O12-N12</f>
        <v/>
      </c>
    </row>
    <row r="51">
      <c r="A51" s="5">
        <f>A13</f>
        <v/>
      </c>
      <c r="B51" s="2">
        <f>B13</f>
        <v/>
      </c>
      <c r="D51" s="11">
        <f>D13-C13</f>
        <v/>
      </c>
      <c r="E51" s="11">
        <f>E13-D13</f>
        <v/>
      </c>
      <c r="F51" s="11">
        <f>F13-E13</f>
        <v/>
      </c>
      <c r="G51" s="11">
        <f>G13-F13</f>
        <v/>
      </c>
      <c r="H51" s="11">
        <f>H13-G13</f>
        <v/>
      </c>
      <c r="I51" s="11">
        <f>I13-H13</f>
        <v/>
      </c>
      <c r="J51" s="11">
        <f>J13-I13</f>
        <v/>
      </c>
      <c r="K51" s="11">
        <f>K13-J13</f>
        <v/>
      </c>
      <c r="L51" s="11">
        <f>L13-K13</f>
        <v/>
      </c>
      <c r="M51" s="11">
        <f>M13-L13</f>
        <v/>
      </c>
      <c r="N51" s="11">
        <f>N13-M13</f>
        <v/>
      </c>
      <c r="O51" s="11">
        <f>O13-N13</f>
        <v/>
      </c>
    </row>
    <row r="52">
      <c r="A52" s="5">
        <f>A14</f>
        <v/>
      </c>
      <c r="B52" s="2">
        <f>B14</f>
        <v/>
      </c>
      <c r="D52" s="11">
        <f>D14-C14</f>
        <v/>
      </c>
      <c r="E52" s="11">
        <f>E14-D14</f>
        <v/>
      </c>
      <c r="F52" s="11">
        <f>F14-E14</f>
        <v/>
      </c>
      <c r="G52" s="11">
        <f>G14-F14</f>
        <v/>
      </c>
      <c r="H52" s="11">
        <f>H14-G14</f>
        <v/>
      </c>
      <c r="I52" s="11">
        <f>I14-H14</f>
        <v/>
      </c>
      <c r="J52" s="11">
        <f>J14-I14</f>
        <v/>
      </c>
      <c r="K52" s="11">
        <f>K14-J14</f>
        <v/>
      </c>
      <c r="L52" s="11">
        <f>L14-K14</f>
        <v/>
      </c>
      <c r="M52" s="11">
        <f>M14-L14</f>
        <v/>
      </c>
      <c r="N52" s="11">
        <f>N14-M14</f>
        <v/>
      </c>
      <c r="O52" s="11">
        <f>O14-N14</f>
        <v/>
      </c>
    </row>
    <row r="53">
      <c r="A53" s="5">
        <f>A15</f>
        <v/>
      </c>
      <c r="B53" s="2">
        <f>B15</f>
        <v/>
      </c>
      <c r="D53" s="11">
        <f>D15-C15</f>
        <v/>
      </c>
      <c r="E53" s="11">
        <f>E15-D15</f>
        <v/>
      </c>
      <c r="F53" s="11">
        <f>F15-E15</f>
        <v/>
      </c>
      <c r="G53" s="11">
        <f>G15-F15</f>
        <v/>
      </c>
      <c r="H53" s="11">
        <f>H15-G15</f>
        <v/>
      </c>
      <c r="I53" s="11">
        <f>I15-H15</f>
        <v/>
      </c>
      <c r="J53" s="11">
        <f>J15-I15</f>
        <v/>
      </c>
      <c r="K53" s="11">
        <f>K15-J15</f>
        <v/>
      </c>
      <c r="L53" s="11">
        <f>L15-K15</f>
        <v/>
      </c>
      <c r="M53" s="11">
        <f>M15-L15</f>
        <v/>
      </c>
      <c r="N53" s="11">
        <f>N15-M15</f>
        <v/>
      </c>
      <c r="O53" s="11">
        <f>O15-N15</f>
        <v/>
      </c>
    </row>
    <row r="54">
      <c r="A54" s="5">
        <f>A16</f>
        <v/>
      </c>
      <c r="B54" s="2">
        <f>B16</f>
        <v/>
      </c>
      <c r="D54" s="11">
        <f>D16-C16</f>
        <v/>
      </c>
      <c r="E54" s="11">
        <f>E16-D16</f>
        <v/>
      </c>
      <c r="F54" s="11">
        <f>F16-E16</f>
        <v/>
      </c>
      <c r="G54" s="11">
        <f>G16-F16</f>
        <v/>
      </c>
      <c r="H54" s="11">
        <f>H16-G16</f>
        <v/>
      </c>
      <c r="I54" s="11">
        <f>I16-H16</f>
        <v/>
      </c>
      <c r="J54" s="11">
        <f>J16-I16</f>
        <v/>
      </c>
      <c r="K54" s="11">
        <f>K16-J16</f>
        <v/>
      </c>
      <c r="L54" s="11">
        <f>L16-K16</f>
        <v/>
      </c>
      <c r="M54" s="11">
        <f>M16-L16</f>
        <v/>
      </c>
      <c r="N54" s="11">
        <f>N16-M16</f>
        <v/>
      </c>
      <c r="O54" s="11">
        <f>O16-N16</f>
        <v/>
      </c>
    </row>
    <row r="55">
      <c r="A55" s="5">
        <f>A17</f>
        <v/>
      </c>
      <c r="B55" s="2">
        <f>B17</f>
        <v/>
      </c>
      <c r="D55" s="11">
        <f>D17-C17</f>
        <v/>
      </c>
      <c r="E55" s="11">
        <f>E17-D17</f>
        <v/>
      </c>
      <c r="F55" s="11">
        <f>F17-E17</f>
        <v/>
      </c>
      <c r="G55" s="11">
        <f>G17-F17</f>
        <v/>
      </c>
      <c r="H55" s="11">
        <f>H17-G17</f>
        <v/>
      </c>
      <c r="I55" s="11">
        <f>I17-H17</f>
        <v/>
      </c>
      <c r="J55" s="11">
        <f>J17-I17</f>
        <v/>
      </c>
      <c r="K55" s="11">
        <f>K17-J17</f>
        <v/>
      </c>
      <c r="L55" s="11">
        <f>L17-K17</f>
        <v/>
      </c>
      <c r="M55" s="11">
        <f>M17-L17</f>
        <v/>
      </c>
      <c r="N55" s="11">
        <f>N17-M17</f>
        <v/>
      </c>
      <c r="O55" s="11">
        <f>O17-N17</f>
        <v/>
      </c>
    </row>
    <row r="56">
      <c r="A56" s="5">
        <f>A18</f>
        <v/>
      </c>
      <c r="B56" s="2">
        <f>B18</f>
        <v/>
      </c>
      <c r="D56" s="11">
        <f>D18-C18</f>
        <v/>
      </c>
      <c r="E56" s="11">
        <f>E18-D18</f>
        <v/>
      </c>
      <c r="F56" s="11">
        <f>F18-E18</f>
        <v/>
      </c>
      <c r="G56" s="11">
        <f>G18-F18</f>
        <v/>
      </c>
      <c r="H56" s="11">
        <f>H18-G18</f>
        <v/>
      </c>
      <c r="I56" s="11">
        <f>I18-H18</f>
        <v/>
      </c>
      <c r="J56" s="11">
        <f>J18-I18</f>
        <v/>
      </c>
      <c r="K56" s="11">
        <f>K18-J18</f>
        <v/>
      </c>
      <c r="L56" s="11">
        <f>L18-K18</f>
        <v/>
      </c>
      <c r="M56" s="11">
        <f>M18-L18</f>
        <v/>
      </c>
      <c r="N56" s="11">
        <f>N18-M18</f>
        <v/>
      </c>
      <c r="O56" s="11">
        <f>O18-N18</f>
        <v/>
      </c>
    </row>
    <row r="57">
      <c r="A57" s="5">
        <f>A19</f>
        <v/>
      </c>
      <c r="B57" s="2">
        <f>B19</f>
        <v/>
      </c>
      <c r="D57" s="11">
        <f>D19-C19</f>
        <v/>
      </c>
      <c r="E57" s="11">
        <f>E19-D19</f>
        <v/>
      </c>
      <c r="F57" s="11">
        <f>F19-E19</f>
        <v/>
      </c>
      <c r="G57" s="11">
        <f>G19-F19</f>
        <v/>
      </c>
      <c r="H57" s="11">
        <f>H19-G19</f>
        <v/>
      </c>
      <c r="I57" s="11">
        <f>I19-H19</f>
        <v/>
      </c>
      <c r="J57" s="11">
        <f>J19-I19</f>
        <v/>
      </c>
      <c r="K57" s="11">
        <f>K19-J19</f>
        <v/>
      </c>
      <c r="L57" s="11">
        <f>L19-K19</f>
        <v/>
      </c>
      <c r="M57" s="11">
        <f>M19-L19</f>
        <v/>
      </c>
      <c r="N57" s="11">
        <f>N19-M19</f>
        <v/>
      </c>
      <c r="O57" s="11">
        <f>O19-N19</f>
        <v/>
      </c>
    </row>
    <row r="58">
      <c r="A58" s="5">
        <f>A20</f>
        <v/>
      </c>
      <c r="B58" s="2">
        <f>B20</f>
        <v/>
      </c>
      <c r="D58" s="11">
        <f>D20-C20</f>
        <v/>
      </c>
      <c r="E58" s="11">
        <f>E20-D20</f>
        <v/>
      </c>
      <c r="F58" s="11">
        <f>F20-E20</f>
        <v/>
      </c>
      <c r="G58" s="11">
        <f>G20-F20</f>
        <v/>
      </c>
      <c r="H58" s="11">
        <f>H20-G20</f>
        <v/>
      </c>
      <c r="I58" s="11">
        <f>I20-H20</f>
        <v/>
      </c>
      <c r="J58" s="11">
        <f>J20-I20</f>
        <v/>
      </c>
      <c r="K58" s="11">
        <f>K20-J20</f>
        <v/>
      </c>
      <c r="L58" s="11">
        <f>L20-K20</f>
        <v/>
      </c>
      <c r="M58" s="11">
        <f>M20-L20</f>
        <v/>
      </c>
      <c r="N58" s="11">
        <f>N20-M20</f>
        <v/>
      </c>
      <c r="O58" s="11">
        <f>O20-N20</f>
        <v/>
      </c>
    </row>
    <row r="59">
      <c r="A59" s="7">
        <f>A21</f>
        <v/>
      </c>
      <c r="D59" s="12">
        <f>D21-C21</f>
        <v/>
      </c>
      <c r="E59" s="12">
        <f>E21-D21</f>
        <v/>
      </c>
      <c r="F59" s="12">
        <f>F21-E21</f>
        <v/>
      </c>
      <c r="G59" s="12">
        <f>G21-F21</f>
        <v/>
      </c>
      <c r="H59" s="12">
        <f>H21-G21</f>
        <v/>
      </c>
      <c r="I59" s="12">
        <f>I21-H21</f>
        <v/>
      </c>
      <c r="J59" s="12">
        <f>J21-I21</f>
        <v/>
      </c>
      <c r="K59" s="12">
        <f>K21-J21</f>
        <v/>
      </c>
      <c r="L59" s="12">
        <f>L21-K21</f>
        <v/>
      </c>
      <c r="M59" s="12">
        <f>M21-L21</f>
        <v/>
      </c>
      <c r="N59" s="12">
        <f>N21-M21</f>
        <v/>
      </c>
      <c r="O59" s="12">
        <f>O21-N21</f>
        <v/>
      </c>
    </row>
    <row r="61">
      <c r="A61" s="3" t="inlineStr">
        <is>
          <t>Último mês vs 09/25</t>
        </is>
      </c>
      <c r="B61" s="3" t="inlineStr"/>
      <c r="C61" s="3" t="inlineStr">
        <is>
          <t>Var. a/a</t>
        </is>
      </c>
      <c r="D61" s="3" t="inlineStr">
        <is>
          <t>Δ share (p.p.)</t>
        </is>
      </c>
    </row>
    <row r="62">
      <c r="A62" s="5">
        <f>A5</f>
        <v/>
      </c>
      <c r="C62" s="13">
        <f>IF(C5=0,0,O5/C5-1)</f>
        <v/>
      </c>
      <c r="D62" s="14">
        <f>(O24-C24)*100</f>
        <v/>
      </c>
    </row>
    <row r="63">
      <c r="A63" s="5">
        <f>A6</f>
        <v/>
      </c>
      <c r="C63" s="13">
        <f>IF(C6=0,0,O6/C6-1)</f>
        <v/>
      </c>
      <c r="D63" s="14">
        <f>(O25-C25)*100</f>
        <v/>
      </c>
    </row>
    <row r="64">
      <c r="A64" s="5">
        <f>A7</f>
        <v/>
      </c>
      <c r="C64" s="13">
        <f>IF(C7=0,0,O7/C7-1)</f>
        <v/>
      </c>
      <c r="D64" s="14">
        <f>(O26-C26)*100</f>
        <v/>
      </c>
    </row>
    <row r="65">
      <c r="A65" s="5">
        <f>A8</f>
        <v/>
      </c>
      <c r="C65" s="13">
        <f>IF(C8=0,0,O8/C8-1)</f>
        <v/>
      </c>
      <c r="D65" s="14">
        <f>(O27-C27)*100</f>
        <v/>
      </c>
    </row>
    <row r="66">
      <c r="A66" s="5">
        <f>A9</f>
        <v/>
      </c>
      <c r="C66" s="13">
        <f>IF(C9=0,0,O9/C9-1)</f>
        <v/>
      </c>
      <c r="D66" s="14">
        <f>(O28-C28)*100</f>
        <v/>
      </c>
    </row>
    <row r="67">
      <c r="A67" s="5">
        <f>A10</f>
        <v/>
      </c>
      <c r="C67" s="13">
        <f>IF(C10=0,0,O10/C10-1)</f>
        <v/>
      </c>
      <c r="D67" s="14">
        <f>(O29-C29)*100</f>
        <v/>
      </c>
    </row>
    <row r="68">
      <c r="A68" s="5">
        <f>A11</f>
        <v/>
      </c>
      <c r="C68" s="13">
        <f>IF(C11=0,0,O11/C11-1)</f>
        <v/>
      </c>
      <c r="D68" s="14">
        <f>(O30-C30)*100</f>
        <v/>
      </c>
    </row>
    <row r="69">
      <c r="A69" s="5">
        <f>A12</f>
        <v/>
      </c>
      <c r="C69" s="13">
        <f>IF(C12=0,0,O12/C12-1)</f>
        <v/>
      </c>
      <c r="D69" s="14">
        <f>(O31-C31)*100</f>
        <v/>
      </c>
    </row>
    <row r="70">
      <c r="A70" s="5">
        <f>A13</f>
        <v/>
      </c>
      <c r="C70" s="13">
        <f>IF(C13=0,0,O13/C13-1)</f>
        <v/>
      </c>
      <c r="D70" s="14">
        <f>(O32-C32)*100</f>
        <v/>
      </c>
    </row>
    <row r="71">
      <c r="A71" s="5">
        <f>A14</f>
        <v/>
      </c>
      <c r="C71" s="13">
        <f>IF(C14=0,0,O14/C14-1)</f>
        <v/>
      </c>
      <c r="D71" s="14">
        <f>(O33-C33)*100</f>
        <v/>
      </c>
    </row>
    <row r="72">
      <c r="A72" s="5">
        <f>A15</f>
        <v/>
      </c>
      <c r="C72" s="13">
        <f>IF(C15=0,0,O15/C15-1)</f>
        <v/>
      </c>
      <c r="D72" s="14">
        <f>(O34-C34)*100</f>
        <v/>
      </c>
    </row>
    <row r="73">
      <c r="A73" s="5">
        <f>A16</f>
        <v/>
      </c>
      <c r="C73" s="13">
        <f>IF(C16=0,0,O16/C16-1)</f>
        <v/>
      </c>
      <c r="D73" s="14">
        <f>(O35-C35)*100</f>
        <v/>
      </c>
    </row>
    <row r="74">
      <c r="A74" s="5">
        <f>A17</f>
        <v/>
      </c>
      <c r="C74" s="13">
        <f>IF(C17=0,0,O17/C17-1)</f>
        <v/>
      </c>
      <c r="D74" s="14">
        <f>(O36-C36)*100</f>
        <v/>
      </c>
    </row>
    <row r="75">
      <c r="A75" s="5">
        <f>A18</f>
        <v/>
      </c>
      <c r="C75" s="13">
        <f>IF(C18=0,0,O18/C18-1)</f>
        <v/>
      </c>
      <c r="D75" s="14">
        <f>(O37-C37)*100</f>
        <v/>
      </c>
    </row>
    <row r="76">
      <c r="A76" s="5">
        <f>A19</f>
        <v/>
      </c>
      <c r="C76" s="13">
        <f>IF(C19=0,0,O19/C19-1)</f>
        <v/>
      </c>
      <c r="D76" s="14">
        <f>(O38-C38)*100</f>
        <v/>
      </c>
    </row>
    <row r="77">
      <c r="A77" s="5">
        <f>A20</f>
        <v/>
      </c>
      <c r="C77" s="13">
        <f>IF(C20=0,0,O20/C20-1)</f>
        <v/>
      </c>
      <c r="D77" s="14">
        <f>(O39-C39)*100</f>
        <v/>
      </c>
    </row>
    <row r="78">
      <c r="A78" s="7">
        <f>A21</f>
        <v/>
      </c>
      <c r="C78" s="13">
        <f>IF(C21=0,0,O21/C21-1)</f>
        <v/>
      </c>
      <c r="D78" s="14">
        <f>(O40-C40)*100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Banda larga fixa — fibra</t>
        </is>
      </c>
    </row>
    <row r="2">
      <c r="A2" s="2" t="inlineStr">
        <is>
          <t>Só 'Meio de Acesso' = Fibra</t>
        </is>
      </c>
    </row>
    <row r="4">
      <c r="A4" s="3" t="inlineStr">
        <is>
          <t>Acessos</t>
        </is>
      </c>
      <c r="B4" s="3" t="inlineStr">
        <is>
          <t>Grupo (rótulo Anatel)</t>
        </is>
      </c>
      <c r="C4" s="4" t="inlineStr">
        <is>
          <t>09/25</t>
        </is>
      </c>
      <c r="D4" s="4" t="inlineStr">
        <is>
          <t>10/25</t>
        </is>
      </c>
      <c r="E4" s="4" t="inlineStr">
        <is>
          <t>11/25</t>
        </is>
      </c>
      <c r="F4" s="4" t="inlineStr">
        <is>
          <t>12/25</t>
        </is>
      </c>
      <c r="G4" s="4" t="inlineStr">
        <is>
          <t>01/26</t>
        </is>
      </c>
      <c r="H4" s="4" t="inlineStr">
        <is>
          <t>02/26</t>
        </is>
      </c>
      <c r="I4" s="4" t="inlineStr">
        <is>
          <t>03/26</t>
        </is>
      </c>
      <c r="J4" s="4" t="inlineStr">
        <is>
          <t>04/26</t>
        </is>
      </c>
      <c r="K4" s="4" t="inlineStr">
        <is>
          <t>05/26</t>
        </is>
      </c>
      <c r="L4" s="4" t="inlineStr">
        <is>
          <t>06/26</t>
        </is>
      </c>
      <c r="M4" s="4" t="inlineStr">
        <is>
          <t>07/26</t>
        </is>
      </c>
      <c r="N4" s="4" t="inlineStr">
        <is>
          <t>08/26</t>
        </is>
      </c>
      <c r="O4" s="4" t="inlineStr">
        <is>
          <t>09/26</t>
        </is>
      </c>
    </row>
    <row r="5">
      <c r="A5" s="5" t="inlineStr">
        <is>
          <t>Outros</t>
        </is>
      </c>
      <c r="B5" s="2" t="inlineStr">
        <is>
          <t>OUTROS</t>
        </is>
      </c>
      <c r="C5" s="6" t="n">
        <v>18626175</v>
      </c>
      <c r="D5" s="6" t="n">
        <v>18960665</v>
      </c>
      <c r="E5" s="6" t="n">
        <v>18507510</v>
      </c>
      <c r="F5" s="6" t="n">
        <v>19112918</v>
      </c>
      <c r="G5" s="6" t="n">
        <v>19090200</v>
      </c>
      <c r="H5" s="6" t="n">
        <v>19707867</v>
      </c>
      <c r="I5" s="6" t="n">
        <v>20142294</v>
      </c>
      <c r="J5" s="6" t="n">
        <v>20399358</v>
      </c>
      <c r="K5" s="6" t="n">
        <v>21037596</v>
      </c>
      <c r="L5" s="6" t="n">
        <v>21372416</v>
      </c>
      <c r="M5" s="6" t="n">
        <v>21317154</v>
      </c>
      <c r="N5" s="6" t="n">
        <v>21291101</v>
      </c>
      <c r="O5" s="6" t="n">
        <v>20538023</v>
      </c>
    </row>
    <row r="6">
      <c r="A6" s="5" t="inlineStr">
        <is>
          <t>Vivo</t>
        </is>
      </c>
      <c r="B6" s="2" t="inlineStr">
        <is>
          <t>TELEFONICA</t>
        </is>
      </c>
      <c r="C6" s="6" t="n">
        <v>7596190</v>
      </c>
      <c r="D6" s="6" t="n">
        <v>7669533</v>
      </c>
      <c r="E6" s="6" t="n">
        <v>7740054</v>
      </c>
      <c r="F6" s="6" t="n">
        <v>7793616</v>
      </c>
      <c r="G6" s="6" t="n">
        <v>7857668</v>
      </c>
      <c r="H6" s="6" t="n">
        <v>7916767</v>
      </c>
      <c r="I6" s="6" t="n">
        <v>7993848</v>
      </c>
      <c r="J6" s="6" t="n">
        <v>8065141</v>
      </c>
      <c r="K6" s="6" t="n">
        <v>8145604</v>
      </c>
      <c r="L6" s="6" t="n">
        <v>8206384</v>
      </c>
      <c r="M6" s="6" t="n">
        <v>8281964</v>
      </c>
      <c r="N6" s="6" t="n">
        <v>8350472</v>
      </c>
      <c r="O6" s="6" t="n">
        <v>8419063</v>
      </c>
    </row>
    <row r="7">
      <c r="A7" s="5" t="inlineStr">
        <is>
          <t>Claro</t>
        </is>
      </c>
      <c r="B7" s="2" t="inlineStr">
        <is>
          <t>TELECOM AMERICAS</t>
        </is>
      </c>
      <c r="C7" s="6" t="n">
        <v>2415139</v>
      </c>
      <c r="D7" s="6" t="n">
        <v>2489188</v>
      </c>
      <c r="E7" s="6" t="n">
        <v>2558268</v>
      </c>
      <c r="F7" s="6" t="n">
        <v>2627121</v>
      </c>
      <c r="G7" s="6" t="n">
        <v>2703431</v>
      </c>
      <c r="H7" s="6" t="n">
        <v>2770983</v>
      </c>
      <c r="I7" s="6" t="n">
        <v>2864822</v>
      </c>
      <c r="J7" s="6" t="n">
        <v>2959850</v>
      </c>
      <c r="K7" s="6" t="n">
        <v>3063087</v>
      </c>
      <c r="L7" s="6" t="n">
        <v>3166593</v>
      </c>
      <c r="M7" s="6" t="n">
        <v>3288290</v>
      </c>
      <c r="N7" s="6" t="n">
        <v>3409759</v>
      </c>
      <c r="O7" s="6" t="n">
        <v>3530875</v>
      </c>
    </row>
    <row r="8">
      <c r="A8" s="5" t="inlineStr">
        <is>
          <t>Oi</t>
        </is>
      </c>
      <c r="B8" s="2" t="inlineStr">
        <is>
          <t>OI</t>
        </is>
      </c>
      <c r="C8" s="6" t="n">
        <v>3778513</v>
      </c>
      <c r="D8" s="6" t="n">
        <v>3706289</v>
      </c>
      <c r="E8" s="6" t="n">
        <v>3618183</v>
      </c>
      <c r="F8" s="6" t="n">
        <v>3544986</v>
      </c>
      <c r="G8" s="6" t="n">
        <v>3480988</v>
      </c>
      <c r="H8" s="6" t="n">
        <v>3444638</v>
      </c>
      <c r="I8" s="6" t="n">
        <v>3420451</v>
      </c>
      <c r="J8" s="6" t="n">
        <v>3405581</v>
      </c>
      <c r="K8" s="6" t="n">
        <v>3376776</v>
      </c>
      <c r="L8" s="6" t="n">
        <v>3359446</v>
      </c>
      <c r="M8" s="6" t="n">
        <v>3371201</v>
      </c>
      <c r="N8" s="6" t="n">
        <v>3392595</v>
      </c>
      <c r="O8" s="6" t="n">
        <v>3411040</v>
      </c>
    </row>
    <row r="9">
      <c r="A9" s="5" t="inlineStr">
        <is>
          <t>Brisanet</t>
        </is>
      </c>
      <c r="B9" s="2" t="inlineStr">
        <is>
          <t>BRISANET</t>
        </is>
      </c>
      <c r="C9" s="6" t="n">
        <v>1496366</v>
      </c>
      <c r="D9" s="6" t="n">
        <v>1502606</v>
      </c>
      <c r="E9" s="6" t="n">
        <v>1506686</v>
      </c>
      <c r="F9" s="6" t="n">
        <v>1510713</v>
      </c>
      <c r="G9" s="6" t="n">
        <v>1515318</v>
      </c>
      <c r="H9" s="6" t="n">
        <v>1519340</v>
      </c>
      <c r="I9" s="6" t="n">
        <v>1524058</v>
      </c>
      <c r="J9" s="6" t="n">
        <v>1528241</v>
      </c>
      <c r="K9" s="6" t="n">
        <v>1533934</v>
      </c>
      <c r="L9" s="6" t="n">
        <v>1535012</v>
      </c>
      <c r="M9" s="6" t="n">
        <v>1538045</v>
      </c>
      <c r="N9" s="6" t="n">
        <v>1540293</v>
      </c>
      <c r="O9" s="6" t="n">
        <v>1541552</v>
      </c>
    </row>
    <row r="10">
      <c r="A10" s="5" t="inlineStr">
        <is>
          <t>Brasil Tecpar</t>
        </is>
      </c>
      <c r="B10" s="2" t="inlineStr">
        <is>
          <t>BRASIL TECPAR</t>
        </is>
      </c>
      <c r="C10" s="6" t="n">
        <v>1290805</v>
      </c>
      <c r="D10" s="6" t="n">
        <v>1289620</v>
      </c>
      <c r="E10" s="6" t="n">
        <v>1303795</v>
      </c>
      <c r="F10" s="6" t="n">
        <v>1325156</v>
      </c>
      <c r="G10" s="6" t="n">
        <v>1340071</v>
      </c>
      <c r="H10" s="6" t="n">
        <v>1345265</v>
      </c>
      <c r="I10" s="6" t="n">
        <v>1353255</v>
      </c>
      <c r="J10" s="6" t="n">
        <v>1359432</v>
      </c>
      <c r="K10" s="6" t="n">
        <v>1352558</v>
      </c>
      <c r="L10" s="6" t="n">
        <v>1355669</v>
      </c>
      <c r="M10" s="6" t="n">
        <v>1364184</v>
      </c>
      <c r="N10" s="6" t="n">
        <v>1367211</v>
      </c>
      <c r="O10" s="6" t="n">
        <v>1371369</v>
      </c>
    </row>
    <row r="11">
      <c r="A11" s="5" t="inlineStr">
        <is>
          <t>Vero</t>
        </is>
      </c>
      <c r="B11" s="2" t="inlineStr">
        <is>
          <t>VERO</t>
        </is>
      </c>
      <c r="C11" s="6" t="n">
        <v>1366694</v>
      </c>
      <c r="D11" s="6" t="n">
        <v>1361922</v>
      </c>
      <c r="E11" s="6" t="n">
        <v>1355918</v>
      </c>
      <c r="F11" s="6" t="n">
        <v>1352494</v>
      </c>
      <c r="G11" s="6" t="n">
        <v>1344993</v>
      </c>
      <c r="H11" s="6" t="n">
        <v>1332739</v>
      </c>
      <c r="I11" s="6" t="n">
        <v>1322533</v>
      </c>
      <c r="J11" s="6" t="n">
        <v>1311275</v>
      </c>
      <c r="K11" s="6" t="n">
        <v>1308278</v>
      </c>
      <c r="L11" s="6" t="n">
        <v>1302132</v>
      </c>
      <c r="M11" s="6" t="n">
        <v>1295783</v>
      </c>
      <c r="N11" s="6" t="n">
        <v>1288821</v>
      </c>
      <c r="O11" s="6" t="n">
        <v>1287193</v>
      </c>
    </row>
    <row r="12">
      <c r="A12" s="5" t="inlineStr">
        <is>
          <t>Giga Mais Fibra</t>
        </is>
      </c>
      <c r="B12" s="2" t="inlineStr">
        <is>
          <t>GIGA MAIS FIBRA</t>
        </is>
      </c>
      <c r="C12" s="6" t="n">
        <v>1511541</v>
      </c>
      <c r="D12" s="6" t="n">
        <v>1493292</v>
      </c>
      <c r="E12" s="6" t="n">
        <v>1465036</v>
      </c>
      <c r="F12" s="6" t="n">
        <v>1433003</v>
      </c>
      <c r="G12" s="6" t="n">
        <v>1408159</v>
      </c>
      <c r="H12" s="6" t="n">
        <v>1386830</v>
      </c>
      <c r="I12" s="6" t="n">
        <v>1364559</v>
      </c>
      <c r="J12" s="6" t="n">
        <v>1345500</v>
      </c>
      <c r="K12" s="6" t="n">
        <v>1329846</v>
      </c>
      <c r="L12" s="6" t="n">
        <v>1313370</v>
      </c>
      <c r="M12" s="6" t="n">
        <v>1300316</v>
      </c>
      <c r="N12" s="6" t="n">
        <v>1287642</v>
      </c>
      <c r="O12" s="6" t="n">
        <v>1276717</v>
      </c>
    </row>
    <row r="13">
      <c r="A13" s="5" t="inlineStr">
        <is>
          <t>Desktop</t>
        </is>
      </c>
      <c r="B13" s="2" t="inlineStr">
        <is>
          <t>DESKTOP</t>
        </is>
      </c>
      <c r="C13" s="6" t="n">
        <v>1197797</v>
      </c>
      <c r="D13" s="6" t="n">
        <v>1204860</v>
      </c>
      <c r="E13" s="6" t="n">
        <v>1206958</v>
      </c>
      <c r="F13" s="6" t="n">
        <v>1206945</v>
      </c>
      <c r="G13" s="6" t="n">
        <v>1207838</v>
      </c>
      <c r="H13" s="6" t="n">
        <v>1207216</v>
      </c>
      <c r="I13" s="6" t="n">
        <v>1204866</v>
      </c>
      <c r="J13" s="6" t="n">
        <v>1202973</v>
      </c>
      <c r="K13" s="6" t="n">
        <v>1199701</v>
      </c>
      <c r="L13" s="6" t="n">
        <v>1198989</v>
      </c>
      <c r="M13" s="6" t="n">
        <v>1197544</v>
      </c>
      <c r="N13" s="6" t="n">
        <v>1193600</v>
      </c>
      <c r="O13" s="6" t="n">
        <v>1195034</v>
      </c>
    </row>
    <row r="14">
      <c r="A14" s="5" t="inlineStr">
        <is>
          <t>TIM</t>
        </is>
      </c>
      <c r="B14" s="2" t="inlineStr">
        <is>
          <t>TELECOM ITALIA</t>
        </is>
      </c>
      <c r="C14" s="6" t="n">
        <v>815282</v>
      </c>
      <c r="D14" s="6" t="n">
        <v>825430</v>
      </c>
      <c r="E14" s="6" t="n">
        <v>838253</v>
      </c>
      <c r="F14" s="6" t="n">
        <v>846987</v>
      </c>
      <c r="G14" s="6" t="n">
        <v>857844</v>
      </c>
      <c r="H14" s="6" t="n">
        <v>870437</v>
      </c>
      <c r="I14" s="6" t="n">
        <v>882788</v>
      </c>
      <c r="J14" s="6" t="n">
        <v>889641</v>
      </c>
      <c r="K14" s="6" t="n">
        <v>898068</v>
      </c>
      <c r="L14" s="6" t="n">
        <v>903309</v>
      </c>
      <c r="M14" s="6" t="n">
        <v>915692</v>
      </c>
      <c r="N14" s="6" t="n">
        <v>927286</v>
      </c>
      <c r="O14" s="6" t="n">
        <v>935964</v>
      </c>
    </row>
    <row r="15">
      <c r="A15" s="5" t="inlineStr">
        <is>
          <t>Unifique</t>
        </is>
      </c>
      <c r="B15" s="2" t="inlineStr">
        <is>
          <t>UNIFIQUE</t>
        </is>
      </c>
      <c r="C15" s="6" t="n">
        <v>817957</v>
      </c>
      <c r="D15" s="6" t="n">
        <v>822203</v>
      </c>
      <c r="E15" s="6" t="n">
        <v>851255</v>
      </c>
      <c r="F15" s="6" t="n">
        <v>862840</v>
      </c>
      <c r="G15" s="6" t="n">
        <v>867364</v>
      </c>
      <c r="H15" s="6" t="n">
        <v>872063</v>
      </c>
      <c r="I15" s="6" t="n">
        <v>876103</v>
      </c>
      <c r="J15" s="6" t="n">
        <v>879084</v>
      </c>
      <c r="K15" s="6" t="n">
        <v>880387</v>
      </c>
      <c r="L15" s="6" t="n">
        <v>881980</v>
      </c>
      <c r="M15" s="6" t="n">
        <v>887194</v>
      </c>
      <c r="N15" s="6" t="n">
        <v>888855</v>
      </c>
      <c r="O15" s="6" t="n">
        <v>890346</v>
      </c>
    </row>
    <row r="16">
      <c r="A16" s="5" t="inlineStr">
        <is>
          <t>Algar</t>
        </is>
      </c>
      <c r="B16" s="2" t="inlineStr">
        <is>
          <t>ALGAR (CTBC TELECOM)</t>
        </is>
      </c>
      <c r="C16" s="6" t="n">
        <v>828153</v>
      </c>
      <c r="D16" s="6" t="n">
        <v>836024</v>
      </c>
      <c r="E16" s="6" t="n">
        <v>838935</v>
      </c>
      <c r="F16" s="6" t="n">
        <v>839365</v>
      </c>
      <c r="G16" s="6" t="n">
        <v>838171</v>
      </c>
      <c r="H16" s="6" t="n">
        <v>837857</v>
      </c>
      <c r="I16" s="6" t="n">
        <v>839102</v>
      </c>
      <c r="J16" s="6" t="n">
        <v>839005</v>
      </c>
      <c r="K16" s="6" t="n">
        <v>837615</v>
      </c>
      <c r="L16" s="6" t="n">
        <v>835777</v>
      </c>
      <c r="M16" s="6" t="n">
        <v>834198</v>
      </c>
      <c r="N16" s="6" t="n">
        <v>832711</v>
      </c>
      <c r="O16" s="6" t="n">
        <v>841171</v>
      </c>
    </row>
    <row r="17">
      <c r="A17" s="5" t="inlineStr">
        <is>
          <t>Alares</t>
        </is>
      </c>
      <c r="B17" s="2" t="inlineStr">
        <is>
          <t>ALARES</t>
        </is>
      </c>
      <c r="C17" s="6" t="n">
        <v>787578</v>
      </c>
      <c r="D17" s="6" t="n">
        <v>814548</v>
      </c>
      <c r="E17" s="6" t="n">
        <v>814248</v>
      </c>
      <c r="F17" s="6" t="n">
        <v>813930</v>
      </c>
      <c r="G17" s="6" t="n">
        <v>788798</v>
      </c>
      <c r="H17" s="6" t="n">
        <v>788000</v>
      </c>
      <c r="I17" s="6" t="n">
        <v>787688</v>
      </c>
      <c r="J17" s="6" t="n">
        <v>786707</v>
      </c>
      <c r="K17" s="6" t="n">
        <v>785123</v>
      </c>
      <c r="L17" s="6" t="n">
        <v>782274</v>
      </c>
      <c r="M17" s="6" t="n">
        <v>798294</v>
      </c>
      <c r="N17" s="6" t="n">
        <v>794256</v>
      </c>
      <c r="O17" s="6" t="n">
        <v>788850</v>
      </c>
    </row>
    <row r="18">
      <c r="A18" s="5" t="inlineStr">
        <is>
          <t>Sky/Zaaz</t>
        </is>
      </c>
      <c r="B18" s="2" t="inlineStr">
        <is>
          <t>SKY/ZAAZ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468438</v>
      </c>
      <c r="H18" s="6" t="n">
        <v>481813</v>
      </c>
      <c r="I18" s="6" t="n">
        <v>482761</v>
      </c>
      <c r="J18" s="6" t="n">
        <v>483214</v>
      </c>
      <c r="K18" s="6" t="n">
        <v>484368</v>
      </c>
      <c r="L18" s="6" t="n">
        <v>492020</v>
      </c>
      <c r="M18" s="6" t="n">
        <v>610575</v>
      </c>
      <c r="N18" s="6" t="n">
        <v>613634</v>
      </c>
      <c r="O18" s="6" t="n">
        <v>613728</v>
      </c>
    </row>
    <row r="19">
      <c r="A19" s="5" t="inlineStr">
        <is>
          <t>Ligga Telecom</t>
        </is>
      </c>
      <c r="B19" s="2" t="inlineStr">
        <is>
          <t>LIGGA TELECOM</t>
        </is>
      </c>
      <c r="C19" s="6" t="n">
        <v>332296</v>
      </c>
      <c r="D19" s="6" t="n">
        <v>334482</v>
      </c>
      <c r="E19" s="6" t="n">
        <v>335598</v>
      </c>
      <c r="F19" s="6" t="n">
        <v>336571</v>
      </c>
      <c r="G19" s="6" t="n">
        <v>339285</v>
      </c>
      <c r="H19" s="6" t="n">
        <v>341803</v>
      </c>
      <c r="I19" s="6" t="n">
        <v>344471</v>
      </c>
      <c r="J19" s="6" t="n">
        <v>346378</v>
      </c>
      <c r="K19" s="6" t="n">
        <v>347868</v>
      </c>
      <c r="L19" s="6" t="n">
        <v>348247</v>
      </c>
      <c r="M19" s="6" t="n">
        <v>350121</v>
      </c>
      <c r="N19" s="6" t="n">
        <v>353995</v>
      </c>
      <c r="O19" s="6" t="n">
        <v>347915</v>
      </c>
    </row>
    <row r="20">
      <c r="A20" s="5" t="inlineStr">
        <is>
          <t>Demais grupos</t>
        </is>
      </c>
      <c r="B20" s="2" t="inlineStr">
        <is>
          <t>DEMAIS GRUPOS</t>
        </is>
      </c>
      <c r="C20" s="6" t="n">
        <v>374455</v>
      </c>
      <c r="D20" s="6" t="n">
        <v>371130</v>
      </c>
      <c r="E20" s="6" t="n">
        <v>374151</v>
      </c>
      <c r="F20" s="6" t="n">
        <v>376203</v>
      </c>
      <c r="G20" s="6" t="n">
        <v>157867</v>
      </c>
      <c r="H20" s="6" t="n">
        <v>158696</v>
      </c>
      <c r="I20" s="6" t="n">
        <v>160291</v>
      </c>
      <c r="J20" s="6" t="n">
        <v>135107</v>
      </c>
      <c r="K20" s="6" t="n">
        <v>136239</v>
      </c>
      <c r="L20" s="6" t="n">
        <v>133121</v>
      </c>
      <c r="M20" s="6" t="n">
        <v>138948</v>
      </c>
      <c r="N20" s="6" t="n">
        <v>135227</v>
      </c>
      <c r="O20" s="6" t="n">
        <v>136076</v>
      </c>
    </row>
    <row r="21">
      <c r="A21" s="7" t="inlineStr">
        <is>
          <t>Total</t>
        </is>
      </c>
      <c r="C21" s="8">
        <f>SUM(C5:C20)</f>
        <v/>
      </c>
      <c r="D21" s="8">
        <f>SUM(D5:D20)</f>
        <v/>
      </c>
      <c r="E21" s="8">
        <f>SUM(E5:E20)</f>
        <v/>
      </c>
      <c r="F21" s="8">
        <f>SUM(F5:F20)</f>
        <v/>
      </c>
      <c r="G21" s="8">
        <f>SUM(G5:G20)</f>
        <v/>
      </c>
      <c r="H21" s="8">
        <f>SUM(H5:H20)</f>
        <v/>
      </c>
      <c r="I21" s="8">
        <f>SUM(I5:I20)</f>
        <v/>
      </c>
      <c r="J21" s="8">
        <f>SUM(J5:J20)</f>
        <v/>
      </c>
      <c r="K21" s="8">
        <f>SUM(K5:K20)</f>
        <v/>
      </c>
      <c r="L21" s="8">
        <f>SUM(L5:L20)</f>
        <v/>
      </c>
      <c r="M21" s="8">
        <f>SUM(M5:M20)</f>
        <v/>
      </c>
      <c r="N21" s="8">
        <f>SUM(N5:N20)</f>
        <v/>
      </c>
      <c r="O21" s="8">
        <f>SUM(O5:O20)</f>
        <v/>
      </c>
    </row>
    <row r="23">
      <c r="A23" s="3" t="inlineStr">
        <is>
          <t>Market share</t>
        </is>
      </c>
      <c r="B23" s="3" t="inlineStr">
        <is>
          <t>Grupo (rótulo Anatel)</t>
        </is>
      </c>
      <c r="C23" s="4" t="inlineStr">
        <is>
          <t>09/25</t>
        </is>
      </c>
      <c r="D23" s="4" t="inlineStr">
        <is>
          <t>10/25</t>
        </is>
      </c>
      <c r="E23" s="4" t="inlineStr">
        <is>
          <t>11/25</t>
        </is>
      </c>
      <c r="F23" s="4" t="inlineStr">
        <is>
          <t>12/25</t>
        </is>
      </c>
      <c r="G23" s="4" t="inlineStr">
        <is>
          <t>01/26</t>
        </is>
      </c>
      <c r="H23" s="4" t="inlineStr">
        <is>
          <t>02/26</t>
        </is>
      </c>
      <c r="I23" s="4" t="inlineStr">
        <is>
          <t>03/26</t>
        </is>
      </c>
      <c r="J23" s="4" t="inlineStr">
        <is>
          <t>04/26</t>
        </is>
      </c>
      <c r="K23" s="4" t="inlineStr">
        <is>
          <t>05/26</t>
        </is>
      </c>
      <c r="L23" s="4" t="inlineStr">
        <is>
          <t>06/26</t>
        </is>
      </c>
      <c r="M23" s="4" t="inlineStr">
        <is>
          <t>07/26</t>
        </is>
      </c>
      <c r="N23" s="4" t="inlineStr">
        <is>
          <t>08/26</t>
        </is>
      </c>
      <c r="O23" s="4" t="inlineStr">
        <is>
          <t>09/26</t>
        </is>
      </c>
    </row>
    <row r="24">
      <c r="A24" s="5">
        <f>A5</f>
        <v/>
      </c>
      <c r="B24" s="2">
        <f>B5</f>
        <v/>
      </c>
      <c r="C24" s="9">
        <f>IF(C$21=0,0,C5/C$21)</f>
        <v/>
      </c>
      <c r="D24" s="9">
        <f>IF(D$21=0,0,D5/D$21)</f>
        <v/>
      </c>
      <c r="E24" s="9">
        <f>IF(E$21=0,0,E5/E$21)</f>
        <v/>
      </c>
      <c r="F24" s="9">
        <f>IF(F$21=0,0,F5/F$21)</f>
        <v/>
      </c>
      <c r="G24" s="9">
        <f>IF(G$21=0,0,G5/G$21)</f>
        <v/>
      </c>
      <c r="H24" s="9">
        <f>IF(H$21=0,0,H5/H$21)</f>
        <v/>
      </c>
      <c r="I24" s="9">
        <f>IF(I$21=0,0,I5/I$21)</f>
        <v/>
      </c>
      <c r="J24" s="9">
        <f>IF(J$21=0,0,J5/J$21)</f>
        <v/>
      </c>
      <c r="K24" s="9">
        <f>IF(K$21=0,0,K5/K$21)</f>
        <v/>
      </c>
      <c r="L24" s="9">
        <f>IF(L$21=0,0,L5/L$21)</f>
        <v/>
      </c>
      <c r="M24" s="9">
        <f>IF(M$21=0,0,M5/M$21)</f>
        <v/>
      </c>
      <c r="N24" s="9">
        <f>IF(N$21=0,0,N5/N$21)</f>
        <v/>
      </c>
      <c r="O24" s="9">
        <f>IF(O$21=0,0,O5/O$21)</f>
        <v/>
      </c>
    </row>
    <row r="25">
      <c r="A25" s="5">
        <f>A6</f>
        <v/>
      </c>
      <c r="B25" s="2">
        <f>B6</f>
        <v/>
      </c>
      <c r="C25" s="9">
        <f>IF(C$21=0,0,C6/C$21)</f>
        <v/>
      </c>
      <c r="D25" s="9">
        <f>IF(D$21=0,0,D6/D$21)</f>
        <v/>
      </c>
      <c r="E25" s="9">
        <f>IF(E$21=0,0,E6/E$21)</f>
        <v/>
      </c>
      <c r="F25" s="9">
        <f>IF(F$21=0,0,F6/F$21)</f>
        <v/>
      </c>
      <c r="G25" s="9">
        <f>IF(G$21=0,0,G6/G$21)</f>
        <v/>
      </c>
      <c r="H25" s="9">
        <f>IF(H$21=0,0,H6/H$21)</f>
        <v/>
      </c>
      <c r="I25" s="9">
        <f>IF(I$21=0,0,I6/I$21)</f>
        <v/>
      </c>
      <c r="J25" s="9">
        <f>IF(J$21=0,0,J6/J$21)</f>
        <v/>
      </c>
      <c r="K25" s="9">
        <f>IF(K$21=0,0,K6/K$21)</f>
        <v/>
      </c>
      <c r="L25" s="9">
        <f>IF(L$21=0,0,L6/L$21)</f>
        <v/>
      </c>
      <c r="M25" s="9">
        <f>IF(M$21=0,0,M6/M$21)</f>
        <v/>
      </c>
      <c r="N25" s="9">
        <f>IF(N$21=0,0,N6/N$21)</f>
        <v/>
      </c>
      <c r="O25" s="9">
        <f>IF(O$21=0,0,O6/O$21)</f>
        <v/>
      </c>
    </row>
    <row r="26">
      <c r="A26" s="5">
        <f>A7</f>
        <v/>
      </c>
      <c r="B26" s="2">
        <f>B7</f>
        <v/>
      </c>
      <c r="C26" s="9">
        <f>IF(C$21=0,0,C7/C$21)</f>
        <v/>
      </c>
      <c r="D26" s="9">
        <f>IF(D$21=0,0,D7/D$21)</f>
        <v/>
      </c>
      <c r="E26" s="9">
        <f>IF(E$21=0,0,E7/E$21)</f>
        <v/>
      </c>
      <c r="F26" s="9">
        <f>IF(F$21=0,0,F7/F$21)</f>
        <v/>
      </c>
      <c r="G26" s="9">
        <f>IF(G$21=0,0,G7/G$21)</f>
        <v/>
      </c>
      <c r="H26" s="9">
        <f>IF(H$21=0,0,H7/H$21)</f>
        <v/>
      </c>
      <c r="I26" s="9">
        <f>IF(I$21=0,0,I7/I$21)</f>
        <v/>
      </c>
      <c r="J26" s="9">
        <f>IF(J$21=0,0,J7/J$21)</f>
        <v/>
      </c>
      <c r="K26" s="9">
        <f>IF(K$21=0,0,K7/K$21)</f>
        <v/>
      </c>
      <c r="L26" s="9">
        <f>IF(L$21=0,0,L7/L$21)</f>
        <v/>
      </c>
      <c r="M26" s="9">
        <f>IF(M$21=0,0,M7/M$21)</f>
        <v/>
      </c>
      <c r="N26" s="9">
        <f>IF(N$21=0,0,N7/N$21)</f>
        <v/>
      </c>
      <c r="O26" s="9">
        <f>IF(O$21=0,0,O7/O$21)</f>
        <v/>
      </c>
    </row>
    <row r="27">
      <c r="A27" s="5">
        <f>A8</f>
        <v/>
      </c>
      <c r="B27" s="2">
        <f>B8</f>
        <v/>
      </c>
      <c r="C27" s="9">
        <f>IF(C$21=0,0,C8/C$21)</f>
        <v/>
      </c>
      <c r="D27" s="9">
        <f>IF(D$21=0,0,D8/D$21)</f>
        <v/>
      </c>
      <c r="E27" s="9">
        <f>IF(E$21=0,0,E8/E$21)</f>
        <v/>
      </c>
      <c r="F27" s="9">
        <f>IF(F$21=0,0,F8/F$21)</f>
        <v/>
      </c>
      <c r="G27" s="9">
        <f>IF(G$21=0,0,G8/G$21)</f>
        <v/>
      </c>
      <c r="H27" s="9">
        <f>IF(H$21=0,0,H8/H$21)</f>
        <v/>
      </c>
      <c r="I27" s="9">
        <f>IF(I$21=0,0,I8/I$21)</f>
        <v/>
      </c>
      <c r="J27" s="9">
        <f>IF(J$21=0,0,J8/J$21)</f>
        <v/>
      </c>
      <c r="K27" s="9">
        <f>IF(K$21=0,0,K8/K$21)</f>
        <v/>
      </c>
      <c r="L27" s="9">
        <f>IF(L$21=0,0,L8/L$21)</f>
        <v/>
      </c>
      <c r="M27" s="9">
        <f>IF(M$21=0,0,M8/M$21)</f>
        <v/>
      </c>
      <c r="N27" s="9">
        <f>IF(N$21=0,0,N8/N$21)</f>
        <v/>
      </c>
      <c r="O27" s="9">
        <f>IF(O$21=0,0,O8/O$21)</f>
        <v/>
      </c>
    </row>
    <row r="28">
      <c r="A28" s="5">
        <f>A9</f>
        <v/>
      </c>
      <c r="B28" s="2">
        <f>B9</f>
        <v/>
      </c>
      <c r="C28" s="9">
        <f>IF(C$21=0,0,C9/C$21)</f>
        <v/>
      </c>
      <c r="D28" s="9">
        <f>IF(D$21=0,0,D9/D$21)</f>
        <v/>
      </c>
      <c r="E28" s="9">
        <f>IF(E$21=0,0,E9/E$21)</f>
        <v/>
      </c>
      <c r="F28" s="9">
        <f>IF(F$21=0,0,F9/F$21)</f>
        <v/>
      </c>
      <c r="G28" s="9">
        <f>IF(G$21=0,0,G9/G$21)</f>
        <v/>
      </c>
      <c r="H28" s="9">
        <f>IF(H$21=0,0,H9/H$21)</f>
        <v/>
      </c>
      <c r="I28" s="9">
        <f>IF(I$21=0,0,I9/I$21)</f>
        <v/>
      </c>
      <c r="J28" s="9">
        <f>IF(J$21=0,0,J9/J$21)</f>
        <v/>
      </c>
      <c r="K28" s="9">
        <f>IF(K$21=0,0,K9/K$21)</f>
        <v/>
      </c>
      <c r="L28" s="9">
        <f>IF(L$21=0,0,L9/L$21)</f>
        <v/>
      </c>
      <c r="M28" s="9">
        <f>IF(M$21=0,0,M9/M$21)</f>
        <v/>
      </c>
      <c r="N28" s="9">
        <f>IF(N$21=0,0,N9/N$21)</f>
        <v/>
      </c>
      <c r="O28" s="9">
        <f>IF(O$21=0,0,O9/O$21)</f>
        <v/>
      </c>
    </row>
    <row r="29">
      <c r="A29" s="5">
        <f>A10</f>
        <v/>
      </c>
      <c r="B29" s="2">
        <f>B10</f>
        <v/>
      </c>
      <c r="C29" s="9">
        <f>IF(C$21=0,0,C10/C$21)</f>
        <v/>
      </c>
      <c r="D29" s="9">
        <f>IF(D$21=0,0,D10/D$21)</f>
        <v/>
      </c>
      <c r="E29" s="9">
        <f>IF(E$21=0,0,E10/E$21)</f>
        <v/>
      </c>
      <c r="F29" s="9">
        <f>IF(F$21=0,0,F10/F$21)</f>
        <v/>
      </c>
      <c r="G29" s="9">
        <f>IF(G$21=0,0,G10/G$21)</f>
        <v/>
      </c>
      <c r="H29" s="9">
        <f>IF(H$21=0,0,H10/H$21)</f>
        <v/>
      </c>
      <c r="I29" s="9">
        <f>IF(I$21=0,0,I10/I$21)</f>
        <v/>
      </c>
      <c r="J29" s="9">
        <f>IF(J$21=0,0,J10/J$21)</f>
        <v/>
      </c>
      <c r="K29" s="9">
        <f>IF(K$21=0,0,K10/K$21)</f>
        <v/>
      </c>
      <c r="L29" s="9">
        <f>IF(L$21=0,0,L10/L$21)</f>
        <v/>
      </c>
      <c r="M29" s="9">
        <f>IF(M$21=0,0,M10/M$21)</f>
        <v/>
      </c>
      <c r="N29" s="9">
        <f>IF(N$21=0,0,N10/N$21)</f>
        <v/>
      </c>
      <c r="O29" s="9">
        <f>IF(O$21=0,0,O10/O$21)</f>
        <v/>
      </c>
    </row>
    <row r="30">
      <c r="A30" s="5">
        <f>A11</f>
        <v/>
      </c>
      <c r="B30" s="2">
        <f>B11</f>
        <v/>
      </c>
      <c r="C30" s="9">
        <f>IF(C$21=0,0,C11/C$21)</f>
        <v/>
      </c>
      <c r="D30" s="9">
        <f>IF(D$21=0,0,D11/D$21)</f>
        <v/>
      </c>
      <c r="E30" s="9">
        <f>IF(E$21=0,0,E11/E$21)</f>
        <v/>
      </c>
      <c r="F30" s="9">
        <f>IF(F$21=0,0,F11/F$21)</f>
        <v/>
      </c>
      <c r="G30" s="9">
        <f>IF(G$21=0,0,G11/G$21)</f>
        <v/>
      </c>
      <c r="H30" s="9">
        <f>IF(H$21=0,0,H11/H$21)</f>
        <v/>
      </c>
      <c r="I30" s="9">
        <f>IF(I$21=0,0,I11/I$21)</f>
        <v/>
      </c>
      <c r="J30" s="9">
        <f>IF(J$21=0,0,J11/J$21)</f>
        <v/>
      </c>
      <c r="K30" s="9">
        <f>IF(K$21=0,0,K11/K$21)</f>
        <v/>
      </c>
      <c r="L30" s="9">
        <f>IF(L$21=0,0,L11/L$21)</f>
        <v/>
      </c>
      <c r="M30" s="9">
        <f>IF(M$21=0,0,M11/M$21)</f>
        <v/>
      </c>
      <c r="N30" s="9">
        <f>IF(N$21=0,0,N11/N$21)</f>
        <v/>
      </c>
      <c r="O30" s="9">
        <f>IF(O$21=0,0,O11/O$21)</f>
        <v/>
      </c>
    </row>
    <row r="31">
      <c r="A31" s="5">
        <f>A12</f>
        <v/>
      </c>
      <c r="B31" s="2">
        <f>B12</f>
        <v/>
      </c>
      <c r="C31" s="9">
        <f>IF(C$21=0,0,C12/C$21)</f>
        <v/>
      </c>
      <c r="D31" s="9">
        <f>IF(D$21=0,0,D12/D$21)</f>
        <v/>
      </c>
      <c r="E31" s="9">
        <f>IF(E$21=0,0,E12/E$21)</f>
        <v/>
      </c>
      <c r="F31" s="9">
        <f>IF(F$21=0,0,F12/F$21)</f>
        <v/>
      </c>
      <c r="G31" s="9">
        <f>IF(G$21=0,0,G12/G$21)</f>
        <v/>
      </c>
      <c r="H31" s="9">
        <f>IF(H$21=0,0,H12/H$21)</f>
        <v/>
      </c>
      <c r="I31" s="9">
        <f>IF(I$21=0,0,I12/I$21)</f>
        <v/>
      </c>
      <c r="J31" s="9">
        <f>IF(J$21=0,0,J12/J$21)</f>
        <v/>
      </c>
      <c r="K31" s="9">
        <f>IF(K$21=0,0,K12/K$21)</f>
        <v/>
      </c>
      <c r="L31" s="9">
        <f>IF(L$21=0,0,L12/L$21)</f>
        <v/>
      </c>
      <c r="M31" s="9">
        <f>IF(M$21=0,0,M12/M$21)</f>
        <v/>
      </c>
      <c r="N31" s="9">
        <f>IF(N$21=0,0,N12/N$21)</f>
        <v/>
      </c>
      <c r="O31" s="9">
        <f>IF(O$21=0,0,O12/O$21)</f>
        <v/>
      </c>
    </row>
    <row r="32">
      <c r="A32" s="5">
        <f>A13</f>
        <v/>
      </c>
      <c r="B32" s="2">
        <f>B13</f>
        <v/>
      </c>
      <c r="C32" s="9">
        <f>IF(C$21=0,0,C13/C$21)</f>
        <v/>
      </c>
      <c r="D32" s="9">
        <f>IF(D$21=0,0,D13/D$21)</f>
        <v/>
      </c>
      <c r="E32" s="9">
        <f>IF(E$21=0,0,E13/E$21)</f>
        <v/>
      </c>
      <c r="F32" s="9">
        <f>IF(F$21=0,0,F13/F$21)</f>
        <v/>
      </c>
      <c r="G32" s="9">
        <f>IF(G$21=0,0,G13/G$21)</f>
        <v/>
      </c>
      <c r="H32" s="9">
        <f>IF(H$21=0,0,H13/H$21)</f>
        <v/>
      </c>
      <c r="I32" s="9">
        <f>IF(I$21=0,0,I13/I$21)</f>
        <v/>
      </c>
      <c r="J32" s="9">
        <f>IF(J$21=0,0,J13/J$21)</f>
        <v/>
      </c>
      <c r="K32" s="9">
        <f>IF(K$21=0,0,K13/K$21)</f>
        <v/>
      </c>
      <c r="L32" s="9">
        <f>IF(L$21=0,0,L13/L$21)</f>
        <v/>
      </c>
      <c r="M32" s="9">
        <f>IF(M$21=0,0,M13/M$21)</f>
        <v/>
      </c>
      <c r="N32" s="9">
        <f>IF(N$21=0,0,N13/N$21)</f>
        <v/>
      </c>
      <c r="O32" s="9">
        <f>IF(O$21=0,0,O13/O$21)</f>
        <v/>
      </c>
    </row>
    <row r="33">
      <c r="A33" s="5">
        <f>A14</f>
        <v/>
      </c>
      <c r="B33" s="2">
        <f>B14</f>
        <v/>
      </c>
      <c r="C33" s="9">
        <f>IF(C$21=0,0,C14/C$21)</f>
        <v/>
      </c>
      <c r="D33" s="9">
        <f>IF(D$21=0,0,D14/D$21)</f>
        <v/>
      </c>
      <c r="E33" s="9">
        <f>IF(E$21=0,0,E14/E$21)</f>
        <v/>
      </c>
      <c r="F33" s="9">
        <f>IF(F$21=0,0,F14/F$21)</f>
        <v/>
      </c>
      <c r="G33" s="9">
        <f>IF(G$21=0,0,G14/G$21)</f>
        <v/>
      </c>
      <c r="H33" s="9">
        <f>IF(H$21=0,0,H14/H$21)</f>
        <v/>
      </c>
      <c r="I33" s="9">
        <f>IF(I$21=0,0,I14/I$21)</f>
        <v/>
      </c>
      <c r="J33" s="9">
        <f>IF(J$21=0,0,J14/J$21)</f>
        <v/>
      </c>
      <c r="K33" s="9">
        <f>IF(K$21=0,0,K14/K$21)</f>
        <v/>
      </c>
      <c r="L33" s="9">
        <f>IF(L$21=0,0,L14/L$21)</f>
        <v/>
      </c>
      <c r="M33" s="9">
        <f>IF(M$21=0,0,M14/M$21)</f>
        <v/>
      </c>
      <c r="N33" s="9">
        <f>IF(N$21=0,0,N14/N$21)</f>
        <v/>
      </c>
      <c r="O33" s="9">
        <f>IF(O$21=0,0,O14/O$21)</f>
        <v/>
      </c>
    </row>
    <row r="34">
      <c r="A34" s="5">
        <f>A15</f>
        <v/>
      </c>
      <c r="B34" s="2">
        <f>B15</f>
        <v/>
      </c>
      <c r="C34" s="9">
        <f>IF(C$21=0,0,C15/C$21)</f>
        <v/>
      </c>
      <c r="D34" s="9">
        <f>IF(D$21=0,0,D15/D$21)</f>
        <v/>
      </c>
      <c r="E34" s="9">
        <f>IF(E$21=0,0,E15/E$21)</f>
        <v/>
      </c>
      <c r="F34" s="9">
        <f>IF(F$21=0,0,F15/F$21)</f>
        <v/>
      </c>
      <c r="G34" s="9">
        <f>IF(G$21=0,0,G15/G$21)</f>
        <v/>
      </c>
      <c r="H34" s="9">
        <f>IF(H$21=0,0,H15/H$21)</f>
        <v/>
      </c>
      <c r="I34" s="9">
        <f>IF(I$21=0,0,I15/I$21)</f>
        <v/>
      </c>
      <c r="J34" s="9">
        <f>IF(J$21=0,0,J15/J$21)</f>
        <v/>
      </c>
      <c r="K34" s="9">
        <f>IF(K$21=0,0,K15/K$21)</f>
        <v/>
      </c>
      <c r="L34" s="9">
        <f>IF(L$21=0,0,L15/L$21)</f>
        <v/>
      </c>
      <c r="M34" s="9">
        <f>IF(M$21=0,0,M15/M$21)</f>
        <v/>
      </c>
      <c r="N34" s="9">
        <f>IF(N$21=0,0,N15/N$21)</f>
        <v/>
      </c>
      <c r="O34" s="9">
        <f>IF(O$21=0,0,O15/O$21)</f>
        <v/>
      </c>
    </row>
    <row r="35">
      <c r="A35" s="5">
        <f>A16</f>
        <v/>
      </c>
      <c r="B35" s="2">
        <f>B16</f>
        <v/>
      </c>
      <c r="C35" s="9">
        <f>IF(C$21=0,0,C16/C$21)</f>
        <v/>
      </c>
      <c r="D35" s="9">
        <f>IF(D$21=0,0,D16/D$21)</f>
        <v/>
      </c>
      <c r="E35" s="9">
        <f>IF(E$21=0,0,E16/E$21)</f>
        <v/>
      </c>
      <c r="F35" s="9">
        <f>IF(F$21=0,0,F16/F$21)</f>
        <v/>
      </c>
      <c r="G35" s="9">
        <f>IF(G$21=0,0,G16/G$21)</f>
        <v/>
      </c>
      <c r="H35" s="9">
        <f>IF(H$21=0,0,H16/H$21)</f>
        <v/>
      </c>
      <c r="I35" s="9">
        <f>IF(I$21=0,0,I16/I$21)</f>
        <v/>
      </c>
      <c r="J35" s="9">
        <f>IF(J$21=0,0,J16/J$21)</f>
        <v/>
      </c>
      <c r="K35" s="9">
        <f>IF(K$21=0,0,K16/K$21)</f>
        <v/>
      </c>
      <c r="L35" s="9">
        <f>IF(L$21=0,0,L16/L$21)</f>
        <v/>
      </c>
      <c r="M35" s="9">
        <f>IF(M$21=0,0,M16/M$21)</f>
        <v/>
      </c>
      <c r="N35" s="9">
        <f>IF(N$21=0,0,N16/N$21)</f>
        <v/>
      </c>
      <c r="O35" s="9">
        <f>IF(O$21=0,0,O16/O$21)</f>
        <v/>
      </c>
    </row>
    <row r="36">
      <c r="A36" s="5">
        <f>A17</f>
        <v/>
      </c>
      <c r="B36" s="2">
        <f>B17</f>
        <v/>
      </c>
      <c r="C36" s="9">
        <f>IF(C$21=0,0,C17/C$21)</f>
        <v/>
      </c>
      <c r="D36" s="9">
        <f>IF(D$21=0,0,D17/D$21)</f>
        <v/>
      </c>
      <c r="E36" s="9">
        <f>IF(E$21=0,0,E17/E$21)</f>
        <v/>
      </c>
      <c r="F36" s="9">
        <f>IF(F$21=0,0,F17/F$21)</f>
        <v/>
      </c>
      <c r="G36" s="9">
        <f>IF(G$21=0,0,G17/G$21)</f>
        <v/>
      </c>
      <c r="H36" s="9">
        <f>IF(H$21=0,0,H17/H$21)</f>
        <v/>
      </c>
      <c r="I36" s="9">
        <f>IF(I$21=0,0,I17/I$21)</f>
        <v/>
      </c>
      <c r="J36" s="9">
        <f>IF(J$21=0,0,J17/J$21)</f>
        <v/>
      </c>
      <c r="K36" s="9">
        <f>IF(K$21=0,0,K17/K$21)</f>
        <v/>
      </c>
      <c r="L36" s="9">
        <f>IF(L$21=0,0,L17/L$21)</f>
        <v/>
      </c>
      <c r="M36" s="9">
        <f>IF(M$21=0,0,M17/M$21)</f>
        <v/>
      </c>
      <c r="N36" s="9">
        <f>IF(N$21=0,0,N17/N$21)</f>
        <v/>
      </c>
      <c r="O36" s="9">
        <f>IF(O$21=0,0,O17/O$21)</f>
        <v/>
      </c>
    </row>
    <row r="37">
      <c r="A37" s="5">
        <f>A18</f>
        <v/>
      </c>
      <c r="B37" s="2">
        <f>B18</f>
        <v/>
      </c>
      <c r="C37" s="9">
        <f>IF(C$21=0,0,C18/C$21)</f>
        <v/>
      </c>
      <c r="D37" s="9">
        <f>IF(D$21=0,0,D18/D$21)</f>
        <v/>
      </c>
      <c r="E37" s="9">
        <f>IF(E$21=0,0,E18/E$21)</f>
        <v/>
      </c>
      <c r="F37" s="9">
        <f>IF(F$21=0,0,F18/F$21)</f>
        <v/>
      </c>
      <c r="G37" s="9">
        <f>IF(G$21=0,0,G18/G$21)</f>
        <v/>
      </c>
      <c r="H37" s="9">
        <f>IF(H$21=0,0,H18/H$21)</f>
        <v/>
      </c>
      <c r="I37" s="9">
        <f>IF(I$21=0,0,I18/I$21)</f>
        <v/>
      </c>
      <c r="J37" s="9">
        <f>IF(J$21=0,0,J18/J$21)</f>
        <v/>
      </c>
      <c r="K37" s="9">
        <f>IF(K$21=0,0,K18/K$21)</f>
        <v/>
      </c>
      <c r="L37" s="9">
        <f>IF(L$21=0,0,L18/L$21)</f>
        <v/>
      </c>
      <c r="M37" s="9">
        <f>IF(M$21=0,0,M18/M$21)</f>
        <v/>
      </c>
      <c r="N37" s="9">
        <f>IF(N$21=0,0,N18/N$21)</f>
        <v/>
      </c>
      <c r="O37" s="9">
        <f>IF(O$21=0,0,O18/O$21)</f>
        <v/>
      </c>
    </row>
    <row r="38">
      <c r="A38" s="5">
        <f>A19</f>
        <v/>
      </c>
      <c r="B38" s="2">
        <f>B19</f>
        <v/>
      </c>
      <c r="C38" s="9">
        <f>IF(C$21=0,0,C19/C$21)</f>
        <v/>
      </c>
      <c r="D38" s="9">
        <f>IF(D$21=0,0,D19/D$21)</f>
        <v/>
      </c>
      <c r="E38" s="9">
        <f>IF(E$21=0,0,E19/E$21)</f>
        <v/>
      </c>
      <c r="F38" s="9">
        <f>IF(F$21=0,0,F19/F$21)</f>
        <v/>
      </c>
      <c r="G38" s="9">
        <f>IF(G$21=0,0,G19/G$21)</f>
        <v/>
      </c>
      <c r="H38" s="9">
        <f>IF(H$21=0,0,H19/H$21)</f>
        <v/>
      </c>
      <c r="I38" s="9">
        <f>IF(I$21=0,0,I19/I$21)</f>
        <v/>
      </c>
      <c r="J38" s="9">
        <f>IF(J$21=0,0,J19/J$21)</f>
        <v/>
      </c>
      <c r="K38" s="9">
        <f>IF(K$21=0,0,K19/K$21)</f>
        <v/>
      </c>
      <c r="L38" s="9">
        <f>IF(L$21=0,0,L19/L$21)</f>
        <v/>
      </c>
      <c r="M38" s="9">
        <f>IF(M$21=0,0,M19/M$21)</f>
        <v/>
      </c>
      <c r="N38" s="9">
        <f>IF(N$21=0,0,N19/N$21)</f>
        <v/>
      </c>
      <c r="O38" s="9">
        <f>IF(O$21=0,0,O19/O$21)</f>
        <v/>
      </c>
    </row>
    <row r="39">
      <c r="A39" s="5">
        <f>A20</f>
        <v/>
      </c>
      <c r="B39" s="2">
        <f>B20</f>
        <v/>
      </c>
      <c r="C39" s="9">
        <f>IF(C$21=0,0,C20/C$21)</f>
        <v/>
      </c>
      <c r="D39" s="9">
        <f>IF(D$21=0,0,D20/D$21)</f>
        <v/>
      </c>
      <c r="E39" s="9">
        <f>IF(E$21=0,0,E20/E$21)</f>
        <v/>
      </c>
      <c r="F39" s="9">
        <f>IF(F$21=0,0,F20/F$21)</f>
        <v/>
      </c>
      <c r="G39" s="9">
        <f>IF(G$21=0,0,G20/G$21)</f>
        <v/>
      </c>
      <c r="H39" s="9">
        <f>IF(H$21=0,0,H20/H$21)</f>
        <v/>
      </c>
      <c r="I39" s="9">
        <f>IF(I$21=0,0,I20/I$21)</f>
        <v/>
      </c>
      <c r="J39" s="9">
        <f>IF(J$21=0,0,J20/J$21)</f>
        <v/>
      </c>
      <c r="K39" s="9">
        <f>IF(K$21=0,0,K20/K$21)</f>
        <v/>
      </c>
      <c r="L39" s="9">
        <f>IF(L$21=0,0,L20/L$21)</f>
        <v/>
      </c>
      <c r="M39" s="9">
        <f>IF(M$21=0,0,M20/M$21)</f>
        <v/>
      </c>
      <c r="N39" s="9">
        <f>IF(N$21=0,0,N20/N$21)</f>
        <v/>
      </c>
      <c r="O39" s="9">
        <f>IF(O$21=0,0,O20/O$21)</f>
        <v/>
      </c>
    </row>
    <row r="40">
      <c r="A40" s="7">
        <f>A21</f>
        <v/>
      </c>
      <c r="C40" s="10">
        <f>IF(C$21=0,0,C21/C$21)</f>
        <v/>
      </c>
      <c r="D40" s="10">
        <f>IF(D$21=0,0,D21/D$21)</f>
        <v/>
      </c>
      <c r="E40" s="10">
        <f>IF(E$21=0,0,E21/E$21)</f>
        <v/>
      </c>
      <c r="F40" s="10">
        <f>IF(F$21=0,0,F21/F$21)</f>
        <v/>
      </c>
      <c r="G40" s="10">
        <f>IF(G$21=0,0,G21/G$21)</f>
        <v/>
      </c>
      <c r="H40" s="10">
        <f>IF(H$21=0,0,H21/H$21)</f>
        <v/>
      </c>
      <c r="I40" s="10">
        <f>IF(I$21=0,0,I21/I$21)</f>
        <v/>
      </c>
      <c r="J40" s="10">
        <f>IF(J$21=0,0,J21/J$21)</f>
        <v/>
      </c>
      <c r="K40" s="10">
        <f>IF(K$21=0,0,K21/K$21)</f>
        <v/>
      </c>
      <c r="L40" s="10">
        <f>IF(L$21=0,0,L21/L$21)</f>
        <v/>
      </c>
      <c r="M40" s="10">
        <f>IF(M$21=0,0,M21/M$21)</f>
        <v/>
      </c>
      <c r="N40" s="10">
        <f>IF(N$21=0,0,N21/N$21)</f>
        <v/>
      </c>
      <c r="O40" s="10">
        <f>IF(O$21=0,0,O21/O$21)</f>
        <v/>
      </c>
    </row>
    <row r="42">
      <c r="A42" s="3" t="inlineStr">
        <is>
          <t>Adições líquidas (m/m)</t>
        </is>
      </c>
      <c r="B42" s="3" t="inlineStr">
        <is>
          <t>Grupo (rótulo Anatel)</t>
        </is>
      </c>
      <c r="C42" s="4" t="inlineStr">
        <is>
          <t>09/25</t>
        </is>
      </c>
      <c r="D42" s="4" t="inlineStr">
        <is>
          <t>10/25</t>
        </is>
      </c>
      <c r="E42" s="4" t="inlineStr">
        <is>
          <t>11/25</t>
        </is>
      </c>
      <c r="F42" s="4" t="inlineStr">
        <is>
          <t>12/25</t>
        </is>
      </c>
      <c r="G42" s="4" t="inlineStr">
        <is>
          <t>01/26</t>
        </is>
      </c>
      <c r="H42" s="4" t="inlineStr">
        <is>
          <t>02/26</t>
        </is>
      </c>
      <c r="I42" s="4" t="inlineStr">
        <is>
          <t>03/26</t>
        </is>
      </c>
      <c r="J42" s="4" t="inlineStr">
        <is>
          <t>04/26</t>
        </is>
      </c>
      <c r="K42" s="4" t="inlineStr">
        <is>
          <t>05/26</t>
        </is>
      </c>
      <c r="L42" s="4" t="inlineStr">
        <is>
          <t>06/26</t>
        </is>
      </c>
      <c r="M42" s="4" t="inlineStr">
        <is>
          <t>07/26</t>
        </is>
      </c>
      <c r="N42" s="4" t="inlineStr">
        <is>
          <t>08/26</t>
        </is>
      </c>
      <c r="O42" s="4" t="inlineStr">
        <is>
          <t>09/26</t>
        </is>
      </c>
    </row>
    <row r="43">
      <c r="A43" s="5">
        <f>A5</f>
        <v/>
      </c>
      <c r="B43" s="2">
        <f>B5</f>
        <v/>
      </c>
      <c r="D43" s="11">
        <f>D5-C5</f>
        <v/>
      </c>
      <c r="E43" s="11">
        <f>E5-D5</f>
        <v/>
      </c>
      <c r="F43" s="11">
        <f>F5-E5</f>
        <v/>
      </c>
      <c r="G43" s="11">
        <f>G5-F5</f>
        <v/>
      </c>
      <c r="H43" s="11">
        <f>H5-G5</f>
        <v/>
      </c>
      <c r="I43" s="11">
        <f>I5-H5</f>
        <v/>
      </c>
      <c r="J43" s="11">
        <f>J5-I5</f>
        <v/>
      </c>
      <c r="K43" s="11">
        <f>K5-J5</f>
        <v/>
      </c>
      <c r="L43" s="11">
        <f>L5-K5</f>
        <v/>
      </c>
      <c r="M43" s="11">
        <f>M5-L5</f>
        <v/>
      </c>
      <c r="N43" s="11">
        <f>N5-M5</f>
        <v/>
      </c>
      <c r="O43" s="11">
        <f>O5-N5</f>
        <v/>
      </c>
    </row>
    <row r="44">
      <c r="A44" s="5">
        <f>A6</f>
        <v/>
      </c>
      <c r="B44" s="2">
        <f>B6</f>
        <v/>
      </c>
      <c r="D44" s="11">
        <f>D6-C6</f>
        <v/>
      </c>
      <c r="E44" s="11">
        <f>E6-D6</f>
        <v/>
      </c>
      <c r="F44" s="11">
        <f>F6-E6</f>
        <v/>
      </c>
      <c r="G44" s="11">
        <f>G6-F6</f>
        <v/>
      </c>
      <c r="H44" s="11">
        <f>H6-G6</f>
        <v/>
      </c>
      <c r="I44" s="11">
        <f>I6-H6</f>
        <v/>
      </c>
      <c r="J44" s="11">
        <f>J6-I6</f>
        <v/>
      </c>
      <c r="K44" s="11">
        <f>K6-J6</f>
        <v/>
      </c>
      <c r="L44" s="11">
        <f>L6-K6</f>
        <v/>
      </c>
      <c r="M44" s="11">
        <f>M6-L6</f>
        <v/>
      </c>
      <c r="N44" s="11">
        <f>N6-M6</f>
        <v/>
      </c>
      <c r="O44" s="11">
        <f>O6-N6</f>
        <v/>
      </c>
    </row>
    <row r="45">
      <c r="A45" s="5">
        <f>A7</f>
        <v/>
      </c>
      <c r="B45" s="2">
        <f>B7</f>
        <v/>
      </c>
      <c r="D45" s="11">
        <f>D7-C7</f>
        <v/>
      </c>
      <c r="E45" s="11">
        <f>E7-D7</f>
        <v/>
      </c>
      <c r="F45" s="11">
        <f>F7-E7</f>
        <v/>
      </c>
      <c r="G45" s="11">
        <f>G7-F7</f>
        <v/>
      </c>
      <c r="H45" s="11">
        <f>H7-G7</f>
        <v/>
      </c>
      <c r="I45" s="11">
        <f>I7-H7</f>
        <v/>
      </c>
      <c r="J45" s="11">
        <f>J7-I7</f>
        <v/>
      </c>
      <c r="K45" s="11">
        <f>K7-J7</f>
        <v/>
      </c>
      <c r="L45" s="11">
        <f>L7-K7</f>
        <v/>
      </c>
      <c r="M45" s="11">
        <f>M7-L7</f>
        <v/>
      </c>
      <c r="N45" s="11">
        <f>N7-M7</f>
        <v/>
      </c>
      <c r="O45" s="11">
        <f>O7-N7</f>
        <v/>
      </c>
    </row>
    <row r="46">
      <c r="A46" s="5">
        <f>A8</f>
        <v/>
      </c>
      <c r="B46" s="2">
        <f>B8</f>
        <v/>
      </c>
      <c r="D46" s="11">
        <f>D8-C8</f>
        <v/>
      </c>
      <c r="E46" s="11">
        <f>E8-D8</f>
        <v/>
      </c>
      <c r="F46" s="11">
        <f>F8-E8</f>
        <v/>
      </c>
      <c r="G46" s="11">
        <f>G8-F8</f>
        <v/>
      </c>
      <c r="H46" s="11">
        <f>H8-G8</f>
        <v/>
      </c>
      <c r="I46" s="11">
        <f>I8-H8</f>
        <v/>
      </c>
      <c r="J46" s="11">
        <f>J8-I8</f>
        <v/>
      </c>
      <c r="K46" s="11">
        <f>K8-J8</f>
        <v/>
      </c>
      <c r="L46" s="11">
        <f>L8-K8</f>
        <v/>
      </c>
      <c r="M46" s="11">
        <f>M8-L8</f>
        <v/>
      </c>
      <c r="N46" s="11">
        <f>N8-M8</f>
        <v/>
      </c>
      <c r="O46" s="11">
        <f>O8-N8</f>
        <v/>
      </c>
    </row>
    <row r="47">
      <c r="A47" s="5">
        <f>A9</f>
        <v/>
      </c>
      <c r="B47" s="2">
        <f>B9</f>
        <v/>
      </c>
      <c r="D47" s="11">
        <f>D9-C9</f>
        <v/>
      </c>
      <c r="E47" s="11">
        <f>E9-D9</f>
        <v/>
      </c>
      <c r="F47" s="11">
        <f>F9-E9</f>
        <v/>
      </c>
      <c r="G47" s="11">
        <f>G9-F9</f>
        <v/>
      </c>
      <c r="H47" s="11">
        <f>H9-G9</f>
        <v/>
      </c>
      <c r="I47" s="11">
        <f>I9-H9</f>
        <v/>
      </c>
      <c r="J47" s="11">
        <f>J9-I9</f>
        <v/>
      </c>
      <c r="K47" s="11">
        <f>K9-J9</f>
        <v/>
      </c>
      <c r="L47" s="11">
        <f>L9-K9</f>
        <v/>
      </c>
      <c r="M47" s="11">
        <f>M9-L9</f>
        <v/>
      </c>
      <c r="N47" s="11">
        <f>N9-M9</f>
        <v/>
      </c>
      <c r="O47" s="11">
        <f>O9-N9</f>
        <v/>
      </c>
    </row>
    <row r="48">
      <c r="A48" s="5">
        <f>A10</f>
        <v/>
      </c>
      <c r="B48" s="2">
        <f>B10</f>
        <v/>
      </c>
      <c r="D48" s="11">
        <f>D10-C10</f>
        <v/>
      </c>
      <c r="E48" s="11">
        <f>E10-D10</f>
        <v/>
      </c>
      <c r="F48" s="11">
        <f>F10-E10</f>
        <v/>
      </c>
      <c r="G48" s="11">
        <f>G10-F10</f>
        <v/>
      </c>
      <c r="H48" s="11">
        <f>H10-G10</f>
        <v/>
      </c>
      <c r="I48" s="11">
        <f>I10-H10</f>
        <v/>
      </c>
      <c r="J48" s="11">
        <f>J10-I10</f>
        <v/>
      </c>
      <c r="K48" s="11">
        <f>K10-J10</f>
        <v/>
      </c>
      <c r="L48" s="11">
        <f>L10-K10</f>
        <v/>
      </c>
      <c r="M48" s="11">
        <f>M10-L10</f>
        <v/>
      </c>
      <c r="N48" s="11">
        <f>N10-M10</f>
        <v/>
      </c>
      <c r="O48" s="11">
        <f>O10-N10</f>
        <v/>
      </c>
    </row>
    <row r="49">
      <c r="A49" s="5">
        <f>A11</f>
        <v/>
      </c>
      <c r="B49" s="2">
        <f>B11</f>
        <v/>
      </c>
      <c r="D49" s="11">
        <f>D11-C11</f>
        <v/>
      </c>
      <c r="E49" s="11">
        <f>E11-D11</f>
        <v/>
      </c>
      <c r="F49" s="11">
        <f>F11-E11</f>
        <v/>
      </c>
      <c r="G49" s="11">
        <f>G11-F11</f>
        <v/>
      </c>
      <c r="H49" s="11">
        <f>H11-G11</f>
        <v/>
      </c>
      <c r="I49" s="11">
        <f>I11-H11</f>
        <v/>
      </c>
      <c r="J49" s="11">
        <f>J11-I11</f>
        <v/>
      </c>
      <c r="K49" s="11">
        <f>K11-J11</f>
        <v/>
      </c>
      <c r="L49" s="11">
        <f>L11-K11</f>
        <v/>
      </c>
      <c r="M49" s="11">
        <f>M11-L11</f>
        <v/>
      </c>
      <c r="N49" s="11">
        <f>N11-M11</f>
        <v/>
      </c>
      <c r="O49" s="11">
        <f>O11-N11</f>
        <v/>
      </c>
    </row>
    <row r="50">
      <c r="A50" s="5">
        <f>A12</f>
        <v/>
      </c>
      <c r="B50" s="2">
        <f>B12</f>
        <v/>
      </c>
      <c r="D50" s="11">
        <f>D12-C12</f>
        <v/>
      </c>
      <c r="E50" s="11">
        <f>E12-D12</f>
        <v/>
      </c>
      <c r="F50" s="11">
        <f>F12-E12</f>
        <v/>
      </c>
      <c r="G50" s="11">
        <f>G12-F12</f>
        <v/>
      </c>
      <c r="H50" s="11">
        <f>H12-G12</f>
        <v/>
      </c>
      <c r="I50" s="11">
        <f>I12-H12</f>
        <v/>
      </c>
      <c r="J50" s="11">
        <f>J12-I12</f>
        <v/>
      </c>
      <c r="K50" s="11">
        <f>K12-J12</f>
        <v/>
      </c>
      <c r="L50" s="11">
        <f>L12-K12</f>
        <v/>
      </c>
      <c r="M50" s="11">
        <f>M12-L12</f>
        <v/>
      </c>
      <c r="N50" s="11">
        <f>N12-M12</f>
        <v/>
      </c>
      <c r="O50" s="11">
        <f>O12-N12</f>
        <v/>
      </c>
    </row>
    <row r="51">
      <c r="A51" s="5">
        <f>A13</f>
        <v/>
      </c>
      <c r="B51" s="2">
        <f>B13</f>
        <v/>
      </c>
      <c r="D51" s="11">
        <f>D13-C13</f>
        <v/>
      </c>
      <c r="E51" s="11">
        <f>E13-D13</f>
        <v/>
      </c>
      <c r="F51" s="11">
        <f>F13-E13</f>
        <v/>
      </c>
      <c r="G51" s="11">
        <f>G13-F13</f>
        <v/>
      </c>
      <c r="H51" s="11">
        <f>H13-G13</f>
        <v/>
      </c>
      <c r="I51" s="11">
        <f>I13-H13</f>
        <v/>
      </c>
      <c r="J51" s="11">
        <f>J13-I13</f>
        <v/>
      </c>
      <c r="K51" s="11">
        <f>K13-J13</f>
        <v/>
      </c>
      <c r="L51" s="11">
        <f>L13-K13</f>
        <v/>
      </c>
      <c r="M51" s="11">
        <f>M13-L13</f>
        <v/>
      </c>
      <c r="N51" s="11">
        <f>N13-M13</f>
        <v/>
      </c>
      <c r="O51" s="11">
        <f>O13-N13</f>
        <v/>
      </c>
    </row>
    <row r="52">
      <c r="A52" s="5">
        <f>A14</f>
        <v/>
      </c>
      <c r="B52" s="2">
        <f>B14</f>
        <v/>
      </c>
      <c r="D52" s="11">
        <f>D14-C14</f>
        <v/>
      </c>
      <c r="E52" s="11">
        <f>E14-D14</f>
        <v/>
      </c>
      <c r="F52" s="11">
        <f>F14-E14</f>
        <v/>
      </c>
      <c r="G52" s="11">
        <f>G14-F14</f>
        <v/>
      </c>
      <c r="H52" s="11">
        <f>H14-G14</f>
        <v/>
      </c>
      <c r="I52" s="11">
        <f>I14-H14</f>
        <v/>
      </c>
      <c r="J52" s="11">
        <f>J14-I14</f>
        <v/>
      </c>
      <c r="K52" s="11">
        <f>K14-J14</f>
        <v/>
      </c>
      <c r="L52" s="11">
        <f>L14-K14</f>
        <v/>
      </c>
      <c r="M52" s="11">
        <f>M14-L14</f>
        <v/>
      </c>
      <c r="N52" s="11">
        <f>N14-M14</f>
        <v/>
      </c>
      <c r="O52" s="11">
        <f>O14-N14</f>
        <v/>
      </c>
    </row>
    <row r="53">
      <c r="A53" s="5">
        <f>A15</f>
        <v/>
      </c>
      <c r="B53" s="2">
        <f>B15</f>
        <v/>
      </c>
      <c r="D53" s="11">
        <f>D15-C15</f>
        <v/>
      </c>
      <c r="E53" s="11">
        <f>E15-D15</f>
        <v/>
      </c>
      <c r="F53" s="11">
        <f>F15-E15</f>
        <v/>
      </c>
      <c r="G53" s="11">
        <f>G15-F15</f>
        <v/>
      </c>
      <c r="H53" s="11">
        <f>H15-G15</f>
        <v/>
      </c>
      <c r="I53" s="11">
        <f>I15-H15</f>
        <v/>
      </c>
      <c r="J53" s="11">
        <f>J15-I15</f>
        <v/>
      </c>
      <c r="K53" s="11">
        <f>K15-J15</f>
        <v/>
      </c>
      <c r="L53" s="11">
        <f>L15-K15</f>
        <v/>
      </c>
      <c r="M53" s="11">
        <f>M15-L15</f>
        <v/>
      </c>
      <c r="N53" s="11">
        <f>N15-M15</f>
        <v/>
      </c>
      <c r="O53" s="11">
        <f>O15-N15</f>
        <v/>
      </c>
    </row>
    <row r="54">
      <c r="A54" s="5">
        <f>A16</f>
        <v/>
      </c>
      <c r="B54" s="2">
        <f>B16</f>
        <v/>
      </c>
      <c r="D54" s="11">
        <f>D16-C16</f>
        <v/>
      </c>
      <c r="E54" s="11">
        <f>E16-D16</f>
        <v/>
      </c>
      <c r="F54" s="11">
        <f>F16-E16</f>
        <v/>
      </c>
      <c r="G54" s="11">
        <f>G16-F16</f>
        <v/>
      </c>
      <c r="H54" s="11">
        <f>H16-G16</f>
        <v/>
      </c>
      <c r="I54" s="11">
        <f>I16-H16</f>
        <v/>
      </c>
      <c r="J54" s="11">
        <f>J16-I16</f>
        <v/>
      </c>
      <c r="K54" s="11">
        <f>K16-J16</f>
        <v/>
      </c>
      <c r="L54" s="11">
        <f>L16-K16</f>
        <v/>
      </c>
      <c r="M54" s="11">
        <f>M16-L16</f>
        <v/>
      </c>
      <c r="N54" s="11">
        <f>N16-M16</f>
        <v/>
      </c>
      <c r="O54" s="11">
        <f>O16-N16</f>
        <v/>
      </c>
    </row>
    <row r="55">
      <c r="A55" s="5">
        <f>A17</f>
        <v/>
      </c>
      <c r="B55" s="2">
        <f>B17</f>
        <v/>
      </c>
      <c r="D55" s="11">
        <f>D17-C17</f>
        <v/>
      </c>
      <c r="E55" s="11">
        <f>E17-D17</f>
        <v/>
      </c>
      <c r="F55" s="11">
        <f>F17-E17</f>
        <v/>
      </c>
      <c r="G55" s="11">
        <f>G17-F17</f>
        <v/>
      </c>
      <c r="H55" s="11">
        <f>H17-G17</f>
        <v/>
      </c>
      <c r="I55" s="11">
        <f>I17-H17</f>
        <v/>
      </c>
      <c r="J55" s="11">
        <f>J17-I17</f>
        <v/>
      </c>
      <c r="K55" s="11">
        <f>K17-J17</f>
        <v/>
      </c>
      <c r="L55" s="11">
        <f>L17-K17</f>
        <v/>
      </c>
      <c r="M55" s="11">
        <f>M17-L17</f>
        <v/>
      </c>
      <c r="N55" s="11">
        <f>N17-M17</f>
        <v/>
      </c>
      <c r="O55" s="11">
        <f>O17-N17</f>
        <v/>
      </c>
    </row>
    <row r="56">
      <c r="A56" s="5">
        <f>A18</f>
        <v/>
      </c>
      <c r="B56" s="2">
        <f>B18</f>
        <v/>
      </c>
      <c r="D56" s="11">
        <f>D18-C18</f>
        <v/>
      </c>
      <c r="E56" s="11">
        <f>E18-D18</f>
        <v/>
      </c>
      <c r="F56" s="11">
        <f>F18-E18</f>
        <v/>
      </c>
      <c r="G56" s="11">
        <f>G18-F18</f>
        <v/>
      </c>
      <c r="H56" s="11">
        <f>H18-G18</f>
        <v/>
      </c>
      <c r="I56" s="11">
        <f>I18-H18</f>
        <v/>
      </c>
      <c r="J56" s="11">
        <f>J18-I18</f>
        <v/>
      </c>
      <c r="K56" s="11">
        <f>K18-J18</f>
        <v/>
      </c>
      <c r="L56" s="11">
        <f>L18-K18</f>
        <v/>
      </c>
      <c r="M56" s="11">
        <f>M18-L18</f>
        <v/>
      </c>
      <c r="N56" s="11">
        <f>N18-M18</f>
        <v/>
      </c>
      <c r="O56" s="11">
        <f>O18-N18</f>
        <v/>
      </c>
    </row>
    <row r="57">
      <c r="A57" s="5">
        <f>A19</f>
        <v/>
      </c>
      <c r="B57" s="2">
        <f>B19</f>
        <v/>
      </c>
      <c r="D57" s="11">
        <f>D19-C19</f>
        <v/>
      </c>
      <c r="E57" s="11">
        <f>E19-D19</f>
        <v/>
      </c>
      <c r="F57" s="11">
        <f>F19-E19</f>
        <v/>
      </c>
      <c r="G57" s="11">
        <f>G19-F19</f>
        <v/>
      </c>
      <c r="H57" s="11">
        <f>H19-G19</f>
        <v/>
      </c>
      <c r="I57" s="11">
        <f>I19-H19</f>
        <v/>
      </c>
      <c r="J57" s="11">
        <f>J19-I19</f>
        <v/>
      </c>
      <c r="K57" s="11">
        <f>K19-J19</f>
        <v/>
      </c>
      <c r="L57" s="11">
        <f>L19-K19</f>
        <v/>
      </c>
      <c r="M57" s="11">
        <f>M19-L19</f>
        <v/>
      </c>
      <c r="N57" s="11">
        <f>N19-M19</f>
        <v/>
      </c>
      <c r="O57" s="11">
        <f>O19-N19</f>
        <v/>
      </c>
    </row>
    <row r="58">
      <c r="A58" s="5">
        <f>A20</f>
        <v/>
      </c>
      <c r="B58" s="2">
        <f>B20</f>
        <v/>
      </c>
      <c r="D58" s="11">
        <f>D20-C20</f>
        <v/>
      </c>
      <c r="E58" s="11">
        <f>E20-D20</f>
        <v/>
      </c>
      <c r="F58" s="11">
        <f>F20-E20</f>
        <v/>
      </c>
      <c r="G58" s="11">
        <f>G20-F20</f>
        <v/>
      </c>
      <c r="H58" s="11">
        <f>H20-G20</f>
        <v/>
      </c>
      <c r="I58" s="11">
        <f>I20-H20</f>
        <v/>
      </c>
      <c r="J58" s="11">
        <f>J20-I20</f>
        <v/>
      </c>
      <c r="K58" s="11">
        <f>K20-J20</f>
        <v/>
      </c>
      <c r="L58" s="11">
        <f>L20-K20</f>
        <v/>
      </c>
      <c r="M58" s="11">
        <f>M20-L20</f>
        <v/>
      </c>
      <c r="N58" s="11">
        <f>N20-M20</f>
        <v/>
      </c>
      <c r="O58" s="11">
        <f>O20-N20</f>
        <v/>
      </c>
    </row>
    <row r="59">
      <c r="A59" s="7">
        <f>A21</f>
        <v/>
      </c>
      <c r="D59" s="12">
        <f>D21-C21</f>
        <v/>
      </c>
      <c r="E59" s="12">
        <f>E21-D21</f>
        <v/>
      </c>
      <c r="F59" s="12">
        <f>F21-E21</f>
        <v/>
      </c>
      <c r="G59" s="12">
        <f>G21-F21</f>
        <v/>
      </c>
      <c r="H59" s="12">
        <f>H21-G21</f>
        <v/>
      </c>
      <c r="I59" s="12">
        <f>I21-H21</f>
        <v/>
      </c>
      <c r="J59" s="12">
        <f>J21-I21</f>
        <v/>
      </c>
      <c r="K59" s="12">
        <f>K21-J21</f>
        <v/>
      </c>
      <c r="L59" s="12">
        <f>L21-K21</f>
        <v/>
      </c>
      <c r="M59" s="12">
        <f>M21-L21</f>
        <v/>
      </c>
      <c r="N59" s="12">
        <f>N21-M21</f>
        <v/>
      </c>
      <c r="O59" s="12">
        <f>O21-N21</f>
        <v/>
      </c>
    </row>
    <row r="61">
      <c r="A61" s="3" t="inlineStr">
        <is>
          <t>Último mês vs 09/25</t>
        </is>
      </c>
      <c r="B61" s="3" t="inlineStr"/>
      <c r="C61" s="3" t="inlineStr">
        <is>
          <t>Var. a/a</t>
        </is>
      </c>
      <c r="D61" s="3" t="inlineStr">
        <is>
          <t>Δ share (p.p.)</t>
        </is>
      </c>
    </row>
    <row r="62">
      <c r="A62" s="5">
        <f>A5</f>
        <v/>
      </c>
      <c r="C62" s="13">
        <f>IF(C5=0,0,O5/C5-1)</f>
        <v/>
      </c>
      <c r="D62" s="14">
        <f>(O24-C24)*100</f>
        <v/>
      </c>
    </row>
    <row r="63">
      <c r="A63" s="5">
        <f>A6</f>
        <v/>
      </c>
      <c r="C63" s="13">
        <f>IF(C6=0,0,O6/C6-1)</f>
        <v/>
      </c>
      <c r="D63" s="14">
        <f>(O25-C25)*100</f>
        <v/>
      </c>
    </row>
    <row r="64">
      <c r="A64" s="5">
        <f>A7</f>
        <v/>
      </c>
      <c r="C64" s="13">
        <f>IF(C7=0,0,O7/C7-1)</f>
        <v/>
      </c>
      <c r="D64" s="14">
        <f>(O26-C26)*100</f>
        <v/>
      </c>
    </row>
    <row r="65">
      <c r="A65" s="5">
        <f>A8</f>
        <v/>
      </c>
      <c r="C65" s="13">
        <f>IF(C8=0,0,O8/C8-1)</f>
        <v/>
      </c>
      <c r="D65" s="14">
        <f>(O27-C27)*100</f>
        <v/>
      </c>
    </row>
    <row r="66">
      <c r="A66" s="5">
        <f>A9</f>
        <v/>
      </c>
      <c r="C66" s="13">
        <f>IF(C9=0,0,O9/C9-1)</f>
        <v/>
      </c>
      <c r="D66" s="14">
        <f>(O28-C28)*100</f>
        <v/>
      </c>
    </row>
    <row r="67">
      <c r="A67" s="5">
        <f>A10</f>
        <v/>
      </c>
      <c r="C67" s="13">
        <f>IF(C10=0,0,O10/C10-1)</f>
        <v/>
      </c>
      <c r="D67" s="14">
        <f>(O29-C29)*100</f>
        <v/>
      </c>
    </row>
    <row r="68">
      <c r="A68" s="5">
        <f>A11</f>
        <v/>
      </c>
      <c r="C68" s="13">
        <f>IF(C11=0,0,O11/C11-1)</f>
        <v/>
      </c>
      <c r="D68" s="14">
        <f>(O30-C30)*100</f>
        <v/>
      </c>
    </row>
    <row r="69">
      <c r="A69" s="5">
        <f>A12</f>
        <v/>
      </c>
      <c r="C69" s="13">
        <f>IF(C12=0,0,O12/C12-1)</f>
        <v/>
      </c>
      <c r="D69" s="14">
        <f>(O31-C31)*100</f>
        <v/>
      </c>
    </row>
    <row r="70">
      <c r="A70" s="5">
        <f>A13</f>
        <v/>
      </c>
      <c r="C70" s="13">
        <f>IF(C13=0,0,O13/C13-1)</f>
        <v/>
      </c>
      <c r="D70" s="14">
        <f>(O32-C32)*100</f>
        <v/>
      </c>
    </row>
    <row r="71">
      <c r="A71" s="5">
        <f>A14</f>
        <v/>
      </c>
      <c r="C71" s="13">
        <f>IF(C14=0,0,O14/C14-1)</f>
        <v/>
      </c>
      <c r="D71" s="14">
        <f>(O33-C33)*100</f>
        <v/>
      </c>
    </row>
    <row r="72">
      <c r="A72" s="5">
        <f>A15</f>
        <v/>
      </c>
      <c r="C72" s="13">
        <f>IF(C15=0,0,O15/C15-1)</f>
        <v/>
      </c>
      <c r="D72" s="14">
        <f>(O34-C34)*100</f>
        <v/>
      </c>
    </row>
    <row r="73">
      <c r="A73" s="5">
        <f>A16</f>
        <v/>
      </c>
      <c r="C73" s="13">
        <f>IF(C16=0,0,O16/C16-1)</f>
        <v/>
      </c>
      <c r="D73" s="14">
        <f>(O35-C35)*100</f>
        <v/>
      </c>
    </row>
    <row r="74">
      <c r="A74" s="5">
        <f>A17</f>
        <v/>
      </c>
      <c r="C74" s="13">
        <f>IF(C17=0,0,O17/C17-1)</f>
        <v/>
      </c>
      <c r="D74" s="14">
        <f>(O36-C36)*100</f>
        <v/>
      </c>
    </row>
    <row r="75">
      <c r="A75" s="5">
        <f>A18</f>
        <v/>
      </c>
      <c r="C75" s="13">
        <f>IF(C18=0,0,O18/C18-1)</f>
        <v/>
      </c>
      <c r="D75" s="14">
        <f>(O37-C37)*100</f>
        <v/>
      </c>
    </row>
    <row r="76">
      <c r="A76" s="5">
        <f>A19</f>
        <v/>
      </c>
      <c r="C76" s="13">
        <f>IF(C19=0,0,O19/C19-1)</f>
        <v/>
      </c>
      <c r="D76" s="14">
        <f>(O38-C38)*100</f>
        <v/>
      </c>
    </row>
    <row r="77">
      <c r="A77" s="5">
        <f>A20</f>
        <v/>
      </c>
      <c r="C77" s="13">
        <f>IF(C20=0,0,O20/C20-1)</f>
        <v/>
      </c>
      <c r="D77" s="14">
        <f>(O39-C39)*100</f>
        <v/>
      </c>
    </row>
    <row r="78">
      <c r="A78" s="7">
        <f>A21</f>
        <v/>
      </c>
      <c r="C78" s="13">
        <f>IF(C21=0,0,O21/C21-1)</f>
        <v/>
      </c>
      <c r="D78" s="14">
        <f>(O40-C40)*100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1" t="inlineStr">
        <is>
          <t>Notas</t>
        </is>
      </c>
    </row>
    <row r="2">
      <c r="A2" s="5" t="inlineStr">
        <is>
          <t>Gerado em</t>
        </is>
      </c>
      <c r="B2" s="5" t="inlineStr">
        <is>
          <t>2026-10-30 11:54</t>
        </is>
      </c>
    </row>
    <row r="3">
      <c r="A3" s="5" t="inlineStr">
        <is>
          <t>Fonte móvel</t>
        </is>
      </c>
      <c r="B3" s="5" t="inlineStr">
        <is>
          <t>https://www.anatel.gov.br/dadosabertos/paineis_de_dados/acessos/acessos_telefonia_movel.zip</t>
        </is>
      </c>
    </row>
    <row r="4">
      <c r="A4" s="5" t="inlineStr">
        <is>
          <t>Arquivos lidos (móvel)</t>
        </is>
      </c>
      <c r="B4" s="5" t="inlineStr">
        <is>
          <t>Acessos_Telefonia_Movel_2026_2S_Colunas.csv, Acessos_Telefonia_Movel_2026_1S_Colunas.csv, Acessos_Telefonia_Movel_2025_2S_Colunas.csv</t>
        </is>
      </c>
    </row>
    <row r="5">
      <c r="A5" s="5" t="inlineStr">
        <is>
          <t>Fonte banda larga fixa</t>
        </is>
      </c>
      <c r="B5" s="5" t="inlineStr">
        <is>
          <t>https://www.anatel.gov.br/dadosabertos/paineis_de_dados/acessos/acessos_banda_larga_fixa.zip</t>
        </is>
      </c>
    </row>
    <row r="6">
      <c r="A6" s="5" t="inlineStr">
        <is>
          <t>Arquivos lidos (BLF)</t>
        </is>
      </c>
      <c r="B6" s="5" t="inlineStr">
        <is>
          <t>Acessos_Banda_Larga_Fixa_2026.csv, Acessos_Banda_Larga_Fixa_2025.csv</t>
        </is>
      </c>
    </row>
    <row r="7">
      <c r="A7" s="5" t="inlineStr">
        <is>
          <t>Último mês móvel</t>
        </is>
      </c>
      <c r="B7" s="5" t="inlineStr">
        <is>
          <t>2026-08</t>
        </is>
      </c>
    </row>
    <row r="8">
      <c r="A8" s="5" t="inlineStr">
        <is>
          <t>Último mês BLF</t>
        </is>
      </c>
      <c r="B8" s="5" t="inlineStr">
        <is>
          <t>2026-09</t>
        </is>
      </c>
    </row>
    <row r="9">
      <c r="A9" s="7" t="inlineStr"/>
      <c r="B9" s="5" t="inlineStr"/>
    </row>
    <row r="10">
      <c r="A10" s="7" t="inlineStr">
        <is>
          <t>Conferência com o total oficial (arquivos _Total.csv do zip)</t>
        </is>
      </c>
      <c r="B10" s="5" t="inlineStr"/>
    </row>
    <row r="11">
      <c r="A11" s="5" t="inlineStr">
        <is>
          <t>Móvel: total oficial Anatel</t>
        </is>
      </c>
      <c r="B11" s="6" t="n">
        <v>220921381</v>
      </c>
    </row>
    <row r="12">
      <c r="A12" s="5" t="inlineStr">
        <is>
          <t>Móvel: total desta planilha</t>
        </is>
      </c>
      <c r="B12" s="11">
        <f>'Móvel'!O16</f>
        <v/>
      </c>
    </row>
    <row r="13">
      <c r="A13" s="5" t="inlineStr">
        <is>
          <t>Móvel: diferença</t>
        </is>
      </c>
      <c r="B13" s="11">
        <f>B12-B11</f>
        <v/>
      </c>
    </row>
    <row r="14">
      <c r="A14" s="5" t="inlineStr">
        <is>
          <t>BLF: total oficial Anatel</t>
        </is>
      </c>
      <c r="B14" s="6" t="n">
        <v>58075574</v>
      </c>
    </row>
    <row r="15">
      <c r="A15" s="5" t="inlineStr">
        <is>
          <t>BLF: total desta planilha</t>
        </is>
      </c>
      <c r="B15" s="11">
        <f>BLF!O21</f>
        <v/>
      </c>
    </row>
    <row r="16">
      <c r="A16" s="5" t="inlineStr">
        <is>
          <t>BLF: diferença</t>
        </is>
      </c>
      <c r="B16" s="11">
        <f>B15-B14</f>
        <v/>
      </c>
    </row>
    <row r="17">
      <c r="A17" s="5" t="inlineStr">
        <is>
          <t>Obs.</t>
        </is>
      </c>
      <c r="B17" s="5" t="inlineStr">
        <is>
          <t>Móvel lido dos arquivos '_Colunas' (batem com o total oficial); BLF lida dos arquivos longos, porque o '_Colunas' da BLF soma alguns milhares de acessos a menos que o total oficial.</t>
        </is>
      </c>
    </row>
    <row r="18">
      <c r="A18" s="7" t="inlineStr"/>
      <c r="B18" s="5" t="inlineStr"/>
    </row>
    <row r="19">
      <c r="A19" s="7" t="inlineStr">
        <is>
          <t>Definições</t>
        </is>
      </c>
      <c r="B19" s="5" t="inlineStr"/>
    </row>
    <row r="20">
      <c r="A20" s="5" t="inlineStr">
        <is>
          <t>Grupo econômico</t>
        </is>
      </c>
      <c r="B20" s="5" t="inlineStr">
        <is>
          <t>Rótulo da Anatel (coluna 'Grupo Econômico'). Nomes comerciais na coluna A só para Vivo/Claro/TIM/Algar; 'OUTROS' é o rótulo da própria Anatel.</t>
        </is>
      </c>
    </row>
    <row r="21">
      <c r="A21" s="5" t="inlineStr">
        <is>
          <t>Base do móvel</t>
        </is>
      </c>
      <c r="B21" s="5" t="inlineStr">
        <is>
          <t>O total oficial exclui M2M e ponto de serviço; as abas Móvel/pós/pré/5G usam essa base. M2M tem aba própria.</t>
        </is>
      </c>
    </row>
    <row r="22">
      <c r="A22" s="5" t="inlineStr">
        <is>
          <t>Acessos</t>
        </is>
      </c>
      <c r="B22" s="5" t="inlineStr">
        <is>
          <t>Acessos ativos no último dia do mês.</t>
        </is>
      </c>
    </row>
    <row r="23">
      <c r="A23" s="5" t="inlineStr">
        <is>
          <t>Cores</t>
        </is>
      </c>
      <c r="B23" s="5" t="inlineStr">
        <is>
          <t>Azul = dado da Anatel; preto = fórmula.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2026-10-30T11:54:23Z</dcterms:created>
  <dcterms:modified xsi:type="dcterms:W3CDTF">2026-10-30T11:54:23Z</dcterms:modified>
</cp:coreProperties>
</file>