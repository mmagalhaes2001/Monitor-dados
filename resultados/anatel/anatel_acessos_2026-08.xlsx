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óvel" sheetId="1" state="visible" r:id="rId3"/>
    <sheet name="Móvel pós-pago" sheetId="2" state="visible" r:id="rId4"/>
    <sheet name="Móvel pré-pago" sheetId="3" state="visible" r:id="rId5"/>
    <sheet name="Móvel 5G" sheetId="4" state="visible" r:id="rId6"/>
    <sheet name="Móvel M2M" sheetId="5" state="visible" r:id="rId7"/>
    <sheet name="BLF" sheetId="6" state="visible" r:id="rId8"/>
    <sheet name="BLF fibra" sheetId="7" state="visible" r:id="rId9"/>
    <sheet name="Not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<sst xmlns="http://schemas.openxmlformats.org/spreadsheetml/2006/main" count="544" uniqueCount="102">
  <si>
    <t xml:space="preserve">Telefonia móvel — acessos por grupo econômico</t>
  </si>
  <si>
    <t xml:space="preserve">Base do total oficial Anatel: exclui M2M e ponto de serviço</t>
  </si>
  <si>
    <t xml:space="preserve">Acessos</t>
  </si>
  <si>
    <t xml:space="preserve">Grupo (rótulo Anatel)</t>
  </si>
  <si>
    <t xml:space="preserve">08/25</t>
  </si>
  <si>
    <t xml:space="preserve">09/25</t>
  </si>
  <si>
    <t xml:space="preserve">10/25</t>
  </si>
  <si>
    <t xml:space="preserve">11/25</t>
  </si>
  <si>
    <t xml:space="preserve">12/25</t>
  </si>
  <si>
    <t xml:space="preserve">01/26</t>
  </si>
  <si>
    <t xml:space="preserve">02/26</t>
  </si>
  <si>
    <t xml:space="preserve">03/26</t>
  </si>
  <si>
    <t xml:space="preserve">04/26</t>
  </si>
  <si>
    <t xml:space="preserve">05/26</t>
  </si>
  <si>
    <t xml:space="preserve">06/26</t>
  </si>
  <si>
    <t xml:space="preserve">07/26</t>
  </si>
  <si>
    <t xml:space="preserve">08/26</t>
  </si>
  <si>
    <t xml:space="preserve">Vivo</t>
  </si>
  <si>
    <t xml:space="preserve">TELEFONICA</t>
  </si>
  <si>
    <t xml:space="preserve">Claro</t>
  </si>
  <si>
    <t xml:space="preserve">TELECOM AMERICAS</t>
  </si>
  <si>
    <t xml:space="preserve">TIM</t>
  </si>
  <si>
    <t xml:space="preserve">TELECOM ITALIA</t>
  </si>
  <si>
    <t xml:space="preserve">Surf Telecom</t>
  </si>
  <si>
    <t xml:space="preserve">SURF TELECOM</t>
  </si>
  <si>
    <t xml:space="preserve">Brisanet</t>
  </si>
  <si>
    <t xml:space="preserve">BRISANET</t>
  </si>
  <si>
    <t xml:space="preserve">Algar</t>
  </si>
  <si>
    <t xml:space="preserve">ALGAR (CTBC TELECOM)</t>
  </si>
  <si>
    <t xml:space="preserve">Vero</t>
  </si>
  <si>
    <t xml:space="preserve">VERO</t>
  </si>
  <si>
    <t xml:space="preserve">Unifique</t>
  </si>
  <si>
    <t xml:space="preserve">UNIFIQUE</t>
  </si>
  <si>
    <t xml:space="preserve">Outros</t>
  </si>
  <si>
    <t xml:space="preserve">OUTROS</t>
  </si>
  <si>
    <t xml:space="preserve">Datora</t>
  </si>
  <si>
    <t xml:space="preserve">DATORA</t>
  </si>
  <si>
    <t xml:space="preserve">Demais grupos</t>
  </si>
  <si>
    <t xml:space="preserve">DEMAIS GRUPOS</t>
  </si>
  <si>
    <t xml:space="preserve">Total</t>
  </si>
  <si>
    <t xml:space="preserve">Market share</t>
  </si>
  <si>
    <t xml:space="preserve">Adições líquidas (m/m)</t>
  </si>
  <si>
    <t xml:space="preserve">Último mês vs 08/25</t>
  </si>
  <si>
    <t xml:space="preserve">Var. a/a</t>
  </si>
  <si>
    <t xml:space="preserve">Δ share (p.p.)</t>
  </si>
  <si>
    <t xml:space="preserve">Móvel pós-pago</t>
  </si>
  <si>
    <t xml:space="preserve">Mesma base (sem M2M e ponto de serviço), só pós-pago</t>
  </si>
  <si>
    <t xml:space="preserve">Móvel pré-pago</t>
  </si>
  <si>
    <t xml:space="preserve">Mesma base (sem M2M e ponto de serviço), só pré-pago</t>
  </si>
  <si>
    <t xml:space="preserve">Ligga Telecom</t>
  </si>
  <si>
    <t xml:space="preserve">LIGGA TELECOM</t>
  </si>
  <si>
    <t xml:space="preserve">Móvel 5G</t>
  </si>
  <si>
    <t xml:space="preserve">Mesma base (sem M2M e ponto de serviço), só 'Tecnologia Geração' = 5G</t>
  </si>
  <si>
    <t xml:space="preserve">Móvel M2M</t>
  </si>
  <si>
    <t xml:space="preserve">Só 'Tipo de Produto' = M2M (fora do total oficial)</t>
  </si>
  <si>
    <t xml:space="preserve">Banda larga fixa — acessos por grupo econômico</t>
  </si>
  <si>
    <t xml:space="preserve">Todos os acessos de SCM (bate com o total oficial Anatel, ver Notas)</t>
  </si>
  <si>
    <t xml:space="preserve">Oi</t>
  </si>
  <si>
    <t xml:space="preserve">OI</t>
  </si>
  <si>
    <t xml:space="preserve">Brasil Tecpar</t>
  </si>
  <si>
    <t xml:space="preserve">BRASIL TECPAR</t>
  </si>
  <si>
    <t xml:space="preserve">Giga Mais Fibra</t>
  </si>
  <si>
    <t xml:space="preserve">GIGA MAIS FIBRA</t>
  </si>
  <si>
    <t xml:space="preserve">Desktop</t>
  </si>
  <si>
    <t xml:space="preserve">DESKTOP</t>
  </si>
  <si>
    <t xml:space="preserve">Alares</t>
  </si>
  <si>
    <t xml:space="preserve">ALARES</t>
  </si>
  <si>
    <t xml:space="preserve">Sky/Zaaz</t>
  </si>
  <si>
    <t xml:space="preserve">SKY/ZAAZ</t>
  </si>
  <si>
    <t xml:space="preserve">Banda larga fixa — fibra</t>
  </si>
  <si>
    <t xml:space="preserve">Só 'Meio de Acesso' = Fibra</t>
  </si>
  <si>
    <t xml:space="preserve">Notas</t>
  </si>
  <si>
    <t xml:space="preserve">Gerado em</t>
  </si>
  <si>
    <t xml:space="preserve">2026-10-27 22:54</t>
  </si>
  <si>
    <t xml:space="preserve">Fonte móvel</t>
  </si>
  <si>
    <t xml:space="preserve">https://www.anatel.gov.br/dadosabertos/paineis_de_dados/acessos/acessos_telefonia_movel.zip</t>
  </si>
  <si>
    <t xml:space="preserve">Arquivos lidos (móvel)</t>
  </si>
  <si>
    <t xml:space="preserve">Acessos_Telefonia_Movel_2026_2S_Colunas.csv, Acessos_Telefonia_Movel_2026_1S_Colunas.csv, Acessos_Telefonia_Movel_2025_2S_Colunas.csv</t>
  </si>
  <si>
    <t xml:space="preserve">Fonte banda larga fixa</t>
  </si>
  <si>
    <t xml:space="preserve">https://www.anatel.gov.br/dadosabertos/paineis_de_dados/acessos/acessos_banda_larga_fixa.zip</t>
  </si>
  <si>
    <t xml:space="preserve">Arquivos lidos (BLF)</t>
  </si>
  <si>
    <t xml:space="preserve">Acessos_Banda_Larga_Fixa_2026.csv, Acessos_Banda_Larga_Fixa_2025.csv</t>
  </si>
  <si>
    <t xml:space="preserve">Último mês móvel</t>
  </si>
  <si>
    <t xml:space="preserve">2026-08</t>
  </si>
  <si>
    <t xml:space="preserve">Último mês BLF</t>
  </si>
  <si>
    <t xml:space="preserve">Conferência com o total oficial (arquivos _Total.csv do zip)</t>
  </si>
  <si>
    <t xml:space="preserve">Móvel: total oficial Anatel</t>
  </si>
  <si>
    <t xml:space="preserve">Móvel: total desta planilha</t>
  </si>
  <si>
    <t xml:space="preserve">Móvel: diferença</t>
  </si>
  <si>
    <t xml:space="preserve">BLF: total oficial Anatel</t>
  </si>
  <si>
    <t xml:space="preserve">BLF: total desta planilha</t>
  </si>
  <si>
    <t xml:space="preserve">BLF: diferença</t>
  </si>
  <si>
    <t xml:space="preserve">Obs.</t>
  </si>
  <si>
    <t xml:space="preserve">Móvel lido dos arquivos '_Colunas' (batem com o total oficial); BLF lida dos arquivos longos, porque o '_Colunas' da BLF soma alguns milhares de acessos a menos que o total oficial.</t>
  </si>
  <si>
    <t xml:space="preserve">Definições</t>
  </si>
  <si>
    <t xml:space="preserve">Grupo econômico</t>
  </si>
  <si>
    <t xml:space="preserve">Rótulo da Anatel (coluna 'Grupo Econômico'). Nomes comerciais na coluna A só para Vivo/Claro/TIM/Algar; 'OUTROS' é o rótulo da própria Anatel.</t>
  </si>
  <si>
    <t xml:space="preserve">Base do móvel</t>
  </si>
  <si>
    <t xml:space="preserve">O total oficial exclui M2M e ponto de serviço; as abas Móvel/pós/pré/5G usam essa base. M2M tem aba própria.</t>
  </si>
  <si>
    <t xml:space="preserve">Acessos ativos no último dia do mês.</t>
  </si>
  <si>
    <t xml:space="preserve">Cores</t>
  </si>
  <si>
    <t xml:space="preserve">Azul = dado da Anatel; preto = fórmula.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</si>
</sst>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0;\(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  <c r="B5" s="2" t="s">
        <v>18</v>
      </c>
      <c r="C5" s="6" t="n">
        <v>84463402</v>
      </c>
      <c r="D5" s="6" t="n">
        <v>84361727</v>
      </c>
      <c r="E5" s="6" t="n">
        <v>84282901</v>
      </c>
      <c r="F5" s="6" t="n">
        <v>84170477</v>
      </c>
      <c r="G5" s="6" t="n">
        <v>84087042</v>
      </c>
      <c r="H5" s="6" t="n">
        <v>84095490</v>
      </c>
      <c r="I5" s="6" t="n">
        <v>84236897</v>
      </c>
      <c r="J5" s="6" t="n">
        <v>84315876</v>
      </c>
      <c r="K5" s="6" t="n">
        <v>84682952</v>
      </c>
      <c r="L5" s="6" t="n">
        <v>85098493</v>
      </c>
      <c r="M5" s="6" t="n">
        <v>85361324</v>
      </c>
      <c r="N5" s="6" t="n">
        <v>85610910</v>
      </c>
      <c r="O5" s="6" t="n">
        <v>85818766</v>
      </c>
    </row>
    <row r="6" customFormat="false" ht="15" hidden="false" customHeight="false" outlineLevel="0" collapsed="false">
      <c r="A6" s="5" t="s">
        <v>19</v>
      </c>
      <c r="B6" s="2" t="s">
        <v>20</v>
      </c>
      <c r="C6" s="6" t="n">
        <v>72345430</v>
      </c>
      <c r="D6" s="6" t="n">
        <v>72317293</v>
      </c>
      <c r="E6" s="6" t="n">
        <v>72461574</v>
      </c>
      <c r="F6" s="6" t="n">
        <v>72644269</v>
      </c>
      <c r="G6" s="6" t="n">
        <v>72878411</v>
      </c>
      <c r="H6" s="6" t="n">
        <v>73058930</v>
      </c>
      <c r="I6" s="6" t="n">
        <v>73568924</v>
      </c>
      <c r="J6" s="6" t="n">
        <v>74058578</v>
      </c>
      <c r="K6" s="6" t="n">
        <v>74263470</v>
      </c>
      <c r="L6" s="6" t="n">
        <v>74726247</v>
      </c>
      <c r="M6" s="6" t="n">
        <v>74822037</v>
      </c>
      <c r="N6" s="6" t="n">
        <v>74913502</v>
      </c>
      <c r="O6" s="6" t="n">
        <v>75288453</v>
      </c>
    </row>
    <row r="7" customFormat="false" ht="15" hidden="false" customHeight="false" outlineLevel="0" collapsed="false">
      <c r="A7" s="5" t="s">
        <v>21</v>
      </c>
      <c r="B7" s="2" t="s">
        <v>22</v>
      </c>
      <c r="C7" s="6" t="n">
        <v>55677401</v>
      </c>
      <c r="D7" s="6" t="n">
        <v>55653073</v>
      </c>
      <c r="E7" s="6" t="n">
        <v>55560143</v>
      </c>
      <c r="F7" s="6" t="n">
        <v>55433775</v>
      </c>
      <c r="G7" s="6" t="n">
        <v>54919383</v>
      </c>
      <c r="H7" s="6" t="n">
        <v>54816162</v>
      </c>
      <c r="I7" s="6" t="n">
        <v>54580275</v>
      </c>
      <c r="J7" s="6" t="n">
        <v>54752184</v>
      </c>
      <c r="K7" s="6" t="n">
        <v>54523210</v>
      </c>
      <c r="L7" s="6" t="n">
        <v>54506993</v>
      </c>
      <c r="M7" s="6" t="n">
        <v>54339246</v>
      </c>
      <c r="N7" s="6" t="n">
        <v>54375540</v>
      </c>
      <c r="O7" s="6" t="n">
        <v>54228190</v>
      </c>
    </row>
    <row r="8" customFormat="false" ht="15" hidden="false" customHeight="false" outlineLevel="0" collapsed="false">
      <c r="A8" s="5" t="s">
        <v>23</v>
      </c>
      <c r="B8" s="2" t="s">
        <v>24</v>
      </c>
      <c r="C8" s="6" t="n">
        <v>1439643</v>
      </c>
      <c r="D8" s="6" t="n">
        <v>1494853</v>
      </c>
      <c r="E8" s="6" t="n">
        <v>1626462</v>
      </c>
      <c r="F8" s="6" t="n">
        <v>1697270</v>
      </c>
      <c r="G8" s="6" t="n">
        <v>1731331</v>
      </c>
      <c r="H8" s="6" t="n">
        <v>1776997</v>
      </c>
      <c r="I8" s="6" t="n">
        <v>1817837</v>
      </c>
      <c r="J8" s="6" t="n">
        <v>1859418</v>
      </c>
      <c r="K8" s="6" t="n">
        <v>1918143</v>
      </c>
      <c r="L8" s="6" t="n">
        <v>1997532</v>
      </c>
      <c r="M8" s="6" t="n">
        <v>2071637</v>
      </c>
      <c r="N8" s="6" t="n">
        <v>2135342</v>
      </c>
      <c r="O8" s="6" t="n">
        <v>2154483</v>
      </c>
    </row>
    <row r="9" customFormat="false" ht="15" hidden="false" customHeight="false" outlineLevel="0" collapsed="false">
      <c r="A9" s="5" t="s">
        <v>25</v>
      </c>
      <c r="B9" s="2" t="s">
        <v>26</v>
      </c>
      <c r="C9" s="6" t="n">
        <v>644183</v>
      </c>
      <c r="D9" s="6" t="n">
        <v>700710</v>
      </c>
      <c r="E9" s="6" t="n">
        <v>762137</v>
      </c>
      <c r="F9" s="6" t="n">
        <v>813654</v>
      </c>
      <c r="G9" s="6" t="n">
        <v>852265</v>
      </c>
      <c r="H9" s="6" t="n">
        <v>882993</v>
      </c>
      <c r="I9" s="6" t="n">
        <v>913745</v>
      </c>
      <c r="J9" s="6" t="n">
        <v>953547</v>
      </c>
      <c r="K9" s="6" t="n">
        <v>990238</v>
      </c>
      <c r="L9" s="6" t="n">
        <v>1029443</v>
      </c>
      <c r="M9" s="6" t="n">
        <v>1069958</v>
      </c>
      <c r="N9" s="6" t="n">
        <v>1108614</v>
      </c>
      <c r="O9" s="6" t="n">
        <v>1144880</v>
      </c>
    </row>
    <row r="10" customFormat="false" ht="15" hidden="false" customHeight="false" outlineLevel="0" collapsed="false">
      <c r="A10" s="5" t="s">
        <v>27</v>
      </c>
      <c r="B10" s="2" t="s">
        <v>28</v>
      </c>
      <c r="C10" s="6" t="n">
        <v>1166751</v>
      </c>
      <c r="D10" s="6" t="n">
        <v>1167250</v>
      </c>
      <c r="E10" s="6" t="n">
        <v>1166085</v>
      </c>
      <c r="F10" s="6" t="n">
        <v>1163019</v>
      </c>
      <c r="G10" s="6" t="n">
        <v>1168686</v>
      </c>
      <c r="H10" s="6" t="n">
        <v>1172758</v>
      </c>
      <c r="I10" s="6" t="n">
        <v>1170429</v>
      </c>
      <c r="J10" s="6" t="n">
        <v>1166291</v>
      </c>
      <c r="K10" s="6" t="n">
        <v>1157839</v>
      </c>
      <c r="L10" s="6" t="n">
        <v>1150935</v>
      </c>
      <c r="M10" s="6" t="n">
        <v>1147491</v>
      </c>
      <c r="N10" s="6" t="n">
        <v>1143794</v>
      </c>
      <c r="O10" s="6" t="n">
        <v>1137910</v>
      </c>
    </row>
    <row r="11" customFormat="false" ht="15" hidden="false" customHeight="false" outlineLevel="0" collapsed="false">
      <c r="A11" s="5" t="s">
        <v>29</v>
      </c>
      <c r="B11" s="2" t="s">
        <v>30</v>
      </c>
      <c r="C11" s="6" t="n">
        <v>253867</v>
      </c>
      <c r="D11" s="6" t="n">
        <v>268448</v>
      </c>
      <c r="E11" s="6" t="n">
        <v>280361</v>
      </c>
      <c r="F11" s="6" t="n">
        <v>296086</v>
      </c>
      <c r="G11" s="6" t="n">
        <v>302251</v>
      </c>
      <c r="H11" s="6" t="n">
        <v>312406</v>
      </c>
      <c r="I11" s="6" t="n">
        <v>324335</v>
      </c>
      <c r="J11" s="6" t="n">
        <v>336032</v>
      </c>
      <c r="K11" s="6" t="n">
        <v>346380</v>
      </c>
      <c r="L11" s="6" t="n">
        <v>354970</v>
      </c>
      <c r="M11" s="6" t="n">
        <v>367298</v>
      </c>
      <c r="N11" s="6" t="n">
        <v>384155</v>
      </c>
      <c r="O11" s="6" t="n">
        <v>397708</v>
      </c>
    </row>
    <row r="12" customFormat="false" ht="15" hidden="false" customHeight="false" outlineLevel="0" collapsed="false">
      <c r="A12" s="5" t="s">
        <v>31</v>
      </c>
      <c r="B12" s="2" t="s">
        <v>32</v>
      </c>
      <c r="C12" s="6" t="n">
        <v>197674</v>
      </c>
      <c r="D12" s="6" t="n">
        <v>211204</v>
      </c>
      <c r="E12" s="6" t="n">
        <v>225607</v>
      </c>
      <c r="F12" s="6" t="n">
        <v>238052</v>
      </c>
      <c r="G12" s="6" t="n">
        <v>247752</v>
      </c>
      <c r="H12" s="6" t="n">
        <v>261082</v>
      </c>
      <c r="I12" s="6" t="n">
        <v>272882</v>
      </c>
      <c r="J12" s="6" t="n">
        <v>287805</v>
      </c>
      <c r="K12" s="6" t="n">
        <v>301533</v>
      </c>
      <c r="L12" s="6" t="n">
        <v>316404</v>
      </c>
      <c r="M12" s="6" t="n">
        <v>337421</v>
      </c>
      <c r="N12" s="6" t="n">
        <v>353273</v>
      </c>
      <c r="O12" s="6" t="n">
        <v>367605</v>
      </c>
    </row>
    <row r="13" customFormat="false" ht="15" hidden="false" customHeight="false" outlineLevel="0" collapsed="false">
      <c r="A13" s="5" t="s">
        <v>33</v>
      </c>
      <c r="B13" s="2" t="s">
        <v>34</v>
      </c>
      <c r="C13" s="6" t="n">
        <v>153076</v>
      </c>
      <c r="D13" s="6" t="n">
        <v>167592</v>
      </c>
      <c r="E13" s="6" t="n">
        <v>176227</v>
      </c>
      <c r="F13" s="6" t="n">
        <v>183672</v>
      </c>
      <c r="G13" s="6" t="n">
        <v>186116</v>
      </c>
      <c r="H13" s="6" t="n">
        <v>195064</v>
      </c>
      <c r="I13" s="6" t="n">
        <v>202850</v>
      </c>
      <c r="J13" s="6" t="n">
        <v>216439</v>
      </c>
      <c r="K13" s="6" t="n">
        <v>227623</v>
      </c>
      <c r="L13" s="6" t="n">
        <v>237812</v>
      </c>
      <c r="M13" s="6" t="n">
        <v>244591</v>
      </c>
      <c r="N13" s="6" t="n">
        <v>248897</v>
      </c>
      <c r="O13" s="6" t="n">
        <v>263657</v>
      </c>
    </row>
    <row r="14" customFormat="false" ht="15" hidden="false" customHeight="false" outlineLevel="0" collapsed="false">
      <c r="A14" s="5" t="s">
        <v>35</v>
      </c>
      <c r="B14" s="2" t="s">
        <v>36</v>
      </c>
      <c r="C14" s="6" t="n">
        <v>50705</v>
      </c>
      <c r="D14" s="6" t="n">
        <v>51941</v>
      </c>
      <c r="E14" s="6" t="n">
        <v>52248</v>
      </c>
      <c r="F14" s="6" t="n">
        <v>52937</v>
      </c>
      <c r="G14" s="6" t="n">
        <v>53505</v>
      </c>
      <c r="H14" s="6" t="n">
        <v>54026</v>
      </c>
      <c r="I14" s="6" t="n">
        <v>54646</v>
      </c>
      <c r="J14" s="6" t="n">
        <v>55714</v>
      </c>
      <c r="K14" s="6" t="n">
        <v>56692</v>
      </c>
      <c r="L14" s="6" t="n">
        <v>57787</v>
      </c>
      <c r="M14" s="6" t="n">
        <v>58292</v>
      </c>
      <c r="N14" s="6" t="n">
        <v>60136</v>
      </c>
      <c r="O14" s="6" t="n">
        <v>104357</v>
      </c>
    </row>
    <row r="15" customFormat="false" ht="15" hidden="false" customHeight="false" outlineLevel="0" collapsed="false">
      <c r="A15" s="5" t="s">
        <v>37</v>
      </c>
      <c r="B15" s="2" t="s">
        <v>38</v>
      </c>
      <c r="C15" s="6" t="n">
        <v>24080</v>
      </c>
      <c r="D15" s="6" t="n">
        <v>23856</v>
      </c>
      <c r="E15" s="6" t="n">
        <v>23566</v>
      </c>
      <c r="F15" s="6" t="n">
        <v>23266</v>
      </c>
      <c r="G15" s="6" t="n">
        <v>22867</v>
      </c>
      <c r="H15" s="6" t="n">
        <v>17229</v>
      </c>
      <c r="I15" s="6" t="n">
        <v>17245</v>
      </c>
      <c r="J15" s="6" t="n">
        <v>17059</v>
      </c>
      <c r="K15" s="6" t="n">
        <v>16815</v>
      </c>
      <c r="L15" s="6" t="n">
        <v>16507</v>
      </c>
      <c r="M15" s="6" t="n">
        <v>15918</v>
      </c>
      <c r="N15" s="6" t="n">
        <v>15559</v>
      </c>
      <c r="O15" s="6" t="n">
        <v>15372</v>
      </c>
    </row>
    <row r="16" customFormat="false" ht="15" hidden="false" customHeight="false" outlineLevel="0" collapsed="false">
      <c r="A16" s="7" t="s">
        <v>39</v>
      </c>
      <c r="C16" s="8" t="n">
        <f aca="false">SUM(C5:C15)</f>
        <v>216416212</v>
      </c>
      <c r="D16" s="8" t="n">
        <f aca="false">SUM(D5:D15)</f>
        <v>216417947</v>
      </c>
      <c r="E16" s="8" t="n">
        <f aca="false">SUM(E5:E15)</f>
        <v>216617311</v>
      </c>
      <c r="F16" s="8" t="n">
        <f aca="false">SUM(F5:F15)</f>
        <v>216716477</v>
      </c>
      <c r="G16" s="8" t="n">
        <f aca="false">SUM(G5:G15)</f>
        <v>216449609</v>
      </c>
      <c r="H16" s="8" t="n">
        <f aca="false">SUM(H5:H15)</f>
        <v>216643137</v>
      </c>
      <c r="I16" s="8" t="n">
        <f aca="false">SUM(I5:I15)</f>
        <v>217160065</v>
      </c>
      <c r="J16" s="8" t="n">
        <f aca="false">SUM(J5:J15)</f>
        <v>218018943</v>
      </c>
      <c r="K16" s="8" t="n">
        <f aca="false">SUM(K5:K15)</f>
        <v>218484895</v>
      </c>
      <c r="L16" s="8" t="n">
        <f aca="false">SUM(L5:L15)</f>
        <v>219493123</v>
      </c>
      <c r="M16" s="8" t="n">
        <f aca="false">SUM(M5:M15)</f>
        <v>219835213</v>
      </c>
      <c r="N16" s="8" t="n">
        <f aca="false">SUM(N5:N15)</f>
        <v>220349722</v>
      </c>
      <c r="O16" s="8" t="n">
        <f aca="false">SUM(O5:O15)</f>
        <v>220921381</v>
      </c>
    </row>
    <row r="18" customFormat="false" ht="15" hidden="false" customHeight="false" outlineLevel="0" collapsed="false">
      <c r="A18" s="3" t="s">
        <v>40</v>
      </c>
      <c r="B18" s="3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9</v>
      </c>
      <c r="I18" s="4" t="s">
        <v>10</v>
      </c>
      <c r="J18" s="4" t="s">
        <v>11</v>
      </c>
      <c r="K18" s="4" t="s">
        <v>12</v>
      </c>
      <c r="L18" s="4" t="s">
        <v>13</v>
      </c>
      <c r="M18" s="4" t="s">
        <v>14</v>
      </c>
      <c r="N18" s="4" t="s">
        <v>15</v>
      </c>
      <c r="O18" s="4" t="s">
        <v>16</v>
      </c>
    </row>
    <row r="19" customFormat="false" ht="15" hidden="false" customHeight="false" outlineLevel="0" collapsed="false">
      <c r="A19" s="5" t="str">
        <f aca="false">A5</f>
        <v>Vivo</v>
      </c>
      <c r="B19" s="2" t="str">
        <f aca="false">B5</f>
        <v>TELEFONICA</v>
      </c>
      <c r="C19" s="9" t="n">
        <f aca="false">IF(C$16=0,0,C5/C$16)</f>
        <v>0.390282230797016</v>
      </c>
      <c r="D19" s="9" t="n">
        <f aca="false">IF(D$16=0,0,D5/D$16)</f>
        <v>0.389809293403934</v>
      </c>
      <c r="E19" s="9" t="n">
        <f aca="false">IF(E$16=0,0,E5/E$16)</f>
        <v>0.389086636755453</v>
      </c>
      <c r="F19" s="9" t="n">
        <f aca="false">IF(F$16=0,0,F5/F$16)</f>
        <v>0.388389836182138</v>
      </c>
      <c r="G19" s="9" t="n">
        <f aca="false">IF(G$16=0,0,G5/G$16)</f>
        <v>0.38848322428709</v>
      </c>
      <c r="H19" s="9" t="n">
        <f aca="false">IF(H$16=0,0,H5/H$16)</f>
        <v>0.388175185997238</v>
      </c>
      <c r="I19" s="9" t="n">
        <f aca="false">IF(I$16=0,0,I5/I$16)</f>
        <v>0.387902338305158</v>
      </c>
      <c r="J19" s="9" t="n">
        <f aca="false">IF(J$16=0,0,J5/J$16)</f>
        <v>0.38673646812424</v>
      </c>
      <c r="K19" s="9" t="n">
        <f aca="false">IF(K$16=0,0,K5/K$16)</f>
        <v>0.387591792100777</v>
      </c>
      <c r="L19" s="9" t="n">
        <f aca="false">IF(L$16=0,0,L5/L$16)</f>
        <v>0.38770459792492</v>
      </c>
      <c r="M19" s="9" t="n">
        <f aca="false">IF(M$16=0,0,M5/M$16)</f>
        <v>0.38829686488852</v>
      </c>
      <c r="N19" s="9" t="n">
        <f aca="false">IF(N$16=0,0,N5/N$16)</f>
        <v>0.388522886359711</v>
      </c>
      <c r="O19" s="9" t="n">
        <f aca="false">IF(O$16=0,0,O5/O$16)</f>
        <v>0.388458399144264</v>
      </c>
    </row>
    <row r="20" customFormat="false" ht="15" hidden="false" customHeight="false" outlineLevel="0" collapsed="false">
      <c r="A20" s="5" t="str">
        <f aca="false">A6</f>
        <v>Claro</v>
      </c>
      <c r="B20" s="2" t="str">
        <f aca="false">B6</f>
        <v>TELECOM AMERICAS</v>
      </c>
      <c r="C20" s="9" t="n">
        <f aca="false">IF(C$16=0,0,C6/C$16)</f>
        <v>0.334288403495391</v>
      </c>
      <c r="D20" s="9" t="n">
        <f aca="false">IF(D$16=0,0,D6/D$16)</f>
        <v>0.334155711217425</v>
      </c>
      <c r="E20" s="9" t="n">
        <f aca="false">IF(E$16=0,0,E6/E$16)</f>
        <v>0.334514234644894</v>
      </c>
      <c r="F20" s="9" t="n">
        <f aca="false">IF(F$16=0,0,F6/F$16)</f>
        <v>0.335204180160238</v>
      </c>
      <c r="G20" s="9" t="n">
        <f aca="false">IF(G$16=0,0,G6/G$16)</f>
        <v>0.336699203739379</v>
      </c>
      <c r="H20" s="9" t="n">
        <f aca="false">IF(H$16=0,0,H6/H$16)</f>
        <v>0.337231684380567</v>
      </c>
      <c r="I20" s="9" t="n">
        <f aca="false">IF(I$16=0,0,I6/I$16)</f>
        <v>0.338777408267952</v>
      </c>
      <c r="J20" s="9" t="n">
        <f aca="false">IF(J$16=0,0,J6/J$16)</f>
        <v>0.339688730625577</v>
      </c>
      <c r="K20" s="9" t="n">
        <f aca="false">IF(K$16=0,0,K6/K$16)</f>
        <v>0.33990207881419</v>
      </c>
      <c r="L20" s="9" t="n">
        <f aca="false">IF(L$16=0,0,L6/L$16)</f>
        <v>0.340449149288381</v>
      </c>
      <c r="M20" s="9" t="n">
        <f aca="false">IF(M$16=0,0,M6/M$16)</f>
        <v>0.340355104984933</v>
      </c>
      <c r="N20" s="9" t="n">
        <f aca="false">IF(N$16=0,0,N6/N$16)</f>
        <v>0.339975477709021</v>
      </c>
      <c r="O20" s="9" t="n">
        <f aca="false">IF(O$16=0,0,O6/O$16)</f>
        <v>0.340792967431251</v>
      </c>
    </row>
    <row r="21" customFormat="false" ht="15" hidden="false" customHeight="false" outlineLevel="0" collapsed="false">
      <c r="A21" s="5" t="str">
        <f aca="false">A7</f>
        <v>TIM</v>
      </c>
      <c r="B21" s="2" t="str">
        <f aca="false">B7</f>
        <v>TELECOM ITALIA</v>
      </c>
      <c r="C21" s="9" t="n">
        <f aca="false">IF(C$16=0,0,C7/C$16)</f>
        <v>0.257270009882624</v>
      </c>
      <c r="D21" s="9" t="n">
        <f aca="false">IF(D$16=0,0,D7/D$16)</f>
        <v>0.257155535256972</v>
      </c>
      <c r="E21" s="9" t="n">
        <f aca="false">IF(E$16=0,0,E7/E$16)</f>
        <v>0.256489856436266</v>
      </c>
      <c r="F21" s="9" t="n">
        <f aca="false">IF(F$16=0,0,F7/F$16)</f>
        <v>0.255789387901502</v>
      </c>
      <c r="G21" s="9" t="n">
        <f aca="false">IF(G$16=0,0,G7/G$16)</f>
        <v>0.253728261528068</v>
      </c>
      <c r="H21" s="9" t="n">
        <f aca="false">IF(H$16=0,0,H7/H$16)</f>
        <v>0.253025148911133</v>
      </c>
      <c r="I21" s="9" t="n">
        <f aca="false">IF(I$16=0,0,I7/I$16)</f>
        <v>0.251336612005527</v>
      </c>
      <c r="J21" s="9" t="n">
        <f aca="false">IF(J$16=0,0,J7/J$16)</f>
        <v>0.25113498509164</v>
      </c>
      <c r="K21" s="9" t="n">
        <f aca="false">IF(K$16=0,0,K7/K$16)</f>
        <v>0.249551393472762</v>
      </c>
      <c r="L21" s="9" t="n">
        <f aca="false">IF(L$16=0,0,L7/L$16)</f>
        <v>0.248331210814291</v>
      </c>
      <c r="M21" s="9" t="n">
        <f aca="false">IF(M$16=0,0,M7/M$16)</f>
        <v>0.247181719700201</v>
      </c>
      <c r="N21" s="9" t="n">
        <f aca="false">IF(N$16=0,0,N7/N$16)</f>
        <v>0.246769269806476</v>
      </c>
      <c r="O21" s="9" t="n">
        <f aca="false">IF(O$16=0,0,O7/O$16)</f>
        <v>0.245463747123688</v>
      </c>
    </row>
    <row r="22" customFormat="false" ht="15" hidden="false" customHeight="false" outlineLevel="0" collapsed="false">
      <c r="A22" s="5" t="str">
        <f aca="false">A8</f>
        <v>Surf Telecom</v>
      </c>
      <c r="B22" s="2" t="str">
        <f aca="false">B8</f>
        <v>SURF TELECOM</v>
      </c>
      <c r="C22" s="9" t="n">
        <f aca="false">IF(C$16=0,0,C8/C$16)</f>
        <v>0.00665219572367342</v>
      </c>
      <c r="D22" s="9" t="n">
        <f aca="false">IF(D$16=0,0,D8/D$16)</f>
        <v>0.00690725062649264</v>
      </c>
      <c r="E22" s="9" t="n">
        <f aca="false">IF(E$16=0,0,E8/E$16)</f>
        <v>0.0075084580844049</v>
      </c>
      <c r="F22" s="9" t="n">
        <f aca="false">IF(F$16=0,0,F8/F$16)</f>
        <v>0.00783175337424851</v>
      </c>
      <c r="G22" s="9" t="n">
        <f aca="false">IF(G$16=0,0,G8/G$16)</f>
        <v>0.00799877166791278</v>
      </c>
      <c r="H22" s="9" t="n">
        <f aca="false">IF(H$16=0,0,H8/H$16)</f>
        <v>0.00820241538507634</v>
      </c>
      <c r="I22" s="9" t="n">
        <f aca="false">IF(I$16=0,0,I8/I$16)</f>
        <v>0.00837095439255832</v>
      </c>
      <c r="J22" s="9" t="n">
        <f aca="false">IF(J$16=0,0,J8/J$16)</f>
        <v>0.00852869926995289</v>
      </c>
      <c r="K22" s="9" t="n">
        <f aca="false">IF(K$16=0,0,K8/K$16)</f>
        <v>0.00877929341522672</v>
      </c>
      <c r="L22" s="9" t="n">
        <f aca="false">IF(L$16=0,0,L8/L$16)</f>
        <v>0.0091006587026419</v>
      </c>
      <c r="M22" s="9" t="n">
        <f aca="false">IF(M$16=0,0,M8/M$16)</f>
        <v>0.00942359038722336</v>
      </c>
      <c r="N22" s="9" t="n">
        <f aca="false">IF(N$16=0,0,N8/N$16)</f>
        <v>0.00969069523037565</v>
      </c>
      <c r="O22" s="9" t="n">
        <f aca="false">IF(O$16=0,0,O8/O$16)</f>
        <v>0.00975226114488212</v>
      </c>
    </row>
    <row r="23" customFormat="false" ht="15" hidden="false" customHeight="false" outlineLevel="0" collapsed="false">
      <c r="A23" s="5" t="str">
        <f aca="false">A9</f>
        <v>Brisanet</v>
      </c>
      <c r="B23" s="2" t="str">
        <f aca="false">B9</f>
        <v>BRISANET</v>
      </c>
      <c r="C23" s="9" t="n">
        <f aca="false">IF(C$16=0,0,C9/C$16)</f>
        <v>0.00297659308444046</v>
      </c>
      <c r="D23" s="9" t="n">
        <f aca="false">IF(D$16=0,0,D9/D$16)</f>
        <v>0.00323776290142887</v>
      </c>
      <c r="E23" s="9" t="n">
        <f aca="false">IF(E$16=0,0,E9/E$16)</f>
        <v>0.00351835685006726</v>
      </c>
      <c r="F23" s="9" t="n">
        <f aca="false">IF(F$16=0,0,F9/F$16)</f>
        <v>0.00375446302590089</v>
      </c>
      <c r="G23" s="9" t="n">
        <f aca="false">IF(G$16=0,0,G9/G$16)</f>
        <v>0.00393747535020957</v>
      </c>
      <c r="H23" s="9" t="n">
        <f aca="false">IF(H$16=0,0,H9/H$16)</f>
        <v>0.00407579493275155</v>
      </c>
      <c r="I23" s="9" t="n">
        <f aca="false">IF(I$16=0,0,I9/I$16)</f>
        <v>0.0042077027376097</v>
      </c>
      <c r="J23" s="9" t="n">
        <f aca="false">IF(J$16=0,0,J9/J$16)</f>
        <v>0.00437368875786174</v>
      </c>
      <c r="K23" s="9" t="n">
        <f aca="false">IF(K$16=0,0,K9/K$16)</f>
        <v>0.00453229501288865</v>
      </c>
      <c r="L23" s="9" t="n">
        <f aca="false">IF(L$16=0,0,L9/L$16)</f>
        <v>0.00469009227227588</v>
      </c>
      <c r="M23" s="9" t="n">
        <f aca="false">IF(M$16=0,0,M9/M$16)</f>
        <v>0.00486709106061184</v>
      </c>
      <c r="N23" s="9" t="n">
        <f aca="false">IF(N$16=0,0,N9/N$16)</f>
        <v>0.00503115678993232</v>
      </c>
      <c r="O23" s="9" t="n">
        <f aca="false">IF(O$16=0,0,O9/O$16)</f>
        <v>0.0051822960494711</v>
      </c>
    </row>
    <row r="24" customFormat="false" ht="15" hidden="false" customHeight="false" outlineLevel="0" collapsed="false">
      <c r="A24" s="5" t="str">
        <f aca="false">A10</f>
        <v>Algar</v>
      </c>
      <c r="B24" s="2" t="str">
        <f aca="false">B10</f>
        <v>ALGAR (CTBC TELECOM)</v>
      </c>
      <c r="C24" s="9" t="n">
        <f aca="false">IF(C$16=0,0,C10/C$16)</f>
        <v>0.0053912365862868</v>
      </c>
      <c r="D24" s="9" t="n">
        <f aca="false">IF(D$16=0,0,D10/D$16)</f>
        <v>0.0053934990890566</v>
      </c>
      <c r="E24" s="9" t="n">
        <f aca="false">IF(E$16=0,0,E10/E$16)</f>
        <v>0.00538315702755631</v>
      </c>
      <c r="F24" s="9" t="n">
        <f aca="false">IF(F$16=0,0,F10/F$16)</f>
        <v>0.0053665462640388</v>
      </c>
      <c r="G24" s="9" t="n">
        <f aca="false">IF(G$16=0,0,G10/G$16)</f>
        <v>0.00539934447282832</v>
      </c>
      <c r="H24" s="9" t="n">
        <f aca="false">IF(H$16=0,0,H10/H$16)</f>
        <v>0.00541331710867905</v>
      </c>
      <c r="I24" s="9" t="n">
        <f aca="false">IF(I$16=0,0,I10/I$16)</f>
        <v>0.00538970643612581</v>
      </c>
      <c r="J24" s="9" t="n">
        <f aca="false">IF(J$16=0,0,J10/J$16)</f>
        <v>0.00534949387402543</v>
      </c>
      <c r="K24" s="9" t="n">
        <f aca="false">IF(K$16=0,0,K10/K$16)</f>
        <v>0.00529940067481553</v>
      </c>
      <c r="L24" s="9" t="n">
        <f aca="false">IF(L$16=0,0,L10/L$16)</f>
        <v>0.00524360391919887</v>
      </c>
      <c r="M24" s="9" t="n">
        <f aca="false">IF(M$16=0,0,M10/M$16)</f>
        <v>0.00521977796159526</v>
      </c>
      <c r="N24" s="9" t="n">
        <f aca="false">IF(N$16=0,0,N10/N$16)</f>
        <v>0.00519081208552648</v>
      </c>
      <c r="O24" s="9" t="n">
        <f aca="false">IF(O$16=0,0,O10/O$16)</f>
        <v>0.005150746364382</v>
      </c>
    </row>
    <row r="25" customFormat="false" ht="15" hidden="false" customHeight="false" outlineLevel="0" collapsed="false">
      <c r="A25" s="5" t="str">
        <f aca="false">A11</f>
        <v>Vero</v>
      </c>
      <c r="B25" s="2" t="str">
        <f aca="false">B11</f>
        <v>VERO</v>
      </c>
      <c r="C25" s="9" t="n">
        <f aca="false">IF(C$16=0,0,C11/C$16)</f>
        <v>0.0011730498267847</v>
      </c>
      <c r="D25" s="9" t="n">
        <f aca="false">IF(D$16=0,0,D11/D$16)</f>
        <v>0.00124041468704996</v>
      </c>
      <c r="E25" s="9" t="n">
        <f aca="false">IF(E$16=0,0,E11/E$16)</f>
        <v>0.00129426867458437</v>
      </c>
      <c r="F25" s="9" t="n">
        <f aca="false">IF(F$16=0,0,F11/F$16)</f>
        <v>0.00136623667982569</v>
      </c>
      <c r="G25" s="9" t="n">
        <f aca="false">IF(G$16=0,0,G11/G$16)</f>
        <v>0.00139640353889482</v>
      </c>
      <c r="H25" s="9" t="n">
        <f aca="false">IF(H$16=0,0,H11/H$16)</f>
        <v>0.00144203044844204</v>
      </c>
      <c r="I25" s="9" t="n">
        <f aca="false">IF(I$16=0,0,I11/I$16)</f>
        <v>0.00149352966900245</v>
      </c>
      <c r="J25" s="9" t="n">
        <f aca="false">IF(J$16=0,0,J11/J$16)</f>
        <v>0.00154129726241265</v>
      </c>
      <c r="K25" s="9" t="n">
        <f aca="false">IF(K$16=0,0,K11/K$16)</f>
        <v>0.00158537275540261</v>
      </c>
      <c r="L25" s="9" t="n">
        <f aca="false">IF(L$16=0,0,L11/L$16)</f>
        <v>0.00161722606680484</v>
      </c>
      <c r="M25" s="9" t="n">
        <f aca="false">IF(M$16=0,0,M11/M$16)</f>
        <v>0.00167078783688762</v>
      </c>
      <c r="N25" s="9" t="n">
        <f aca="false">IF(N$16=0,0,N11/N$16)</f>
        <v>0.00174338772254044</v>
      </c>
      <c r="O25" s="9" t="n">
        <f aca="false">IF(O$16=0,0,O11/O$16)</f>
        <v>0.00180022412588485</v>
      </c>
    </row>
    <row r="26" customFormat="false" ht="15" hidden="false" customHeight="false" outlineLevel="0" collapsed="false">
      <c r="A26" s="5" t="str">
        <f aca="false">A12</f>
        <v>Unifique</v>
      </c>
      <c r="B26" s="2" t="str">
        <f aca="false">B12</f>
        <v>UNIFIQUE</v>
      </c>
      <c r="C26" s="9" t="n">
        <f aca="false">IF(C$16=0,0,C12/C$16)</f>
        <v>0.000913397375239153</v>
      </c>
      <c r="D26" s="9" t="n">
        <f aca="false">IF(D$16=0,0,D12/D$16)</f>
        <v>0.000975907973103543</v>
      </c>
      <c r="E26" s="9" t="n">
        <f aca="false">IF(E$16=0,0,E12/E$16)</f>
        <v>0.00104150032589039</v>
      </c>
      <c r="F26" s="9" t="n">
        <f aca="false">IF(F$16=0,0,F12/F$16)</f>
        <v>0.00109844901179341</v>
      </c>
      <c r="G26" s="9" t="n">
        <f aca="false">IF(G$16=0,0,G12/G$16)</f>
        <v>0.00114461745227731</v>
      </c>
      <c r="H26" s="9" t="n">
        <f aca="false">IF(H$16=0,0,H12/H$16)</f>
        <v>0.00120512472084449</v>
      </c>
      <c r="I26" s="9" t="n">
        <f aca="false">IF(I$16=0,0,I12/I$16)</f>
        <v>0.00125659384012433</v>
      </c>
      <c r="J26" s="9" t="n">
        <f aca="false">IF(J$16=0,0,J12/J$16)</f>
        <v>0.00132009171331502</v>
      </c>
      <c r="K26" s="9" t="n">
        <f aca="false">IF(K$16=0,0,K12/K$16)</f>
        <v>0.00138010913752184</v>
      </c>
      <c r="L26" s="9" t="n">
        <f aca="false">IF(L$16=0,0,L12/L$16)</f>
        <v>0.00144152124529205</v>
      </c>
      <c r="M26" s="9" t="n">
        <f aca="false">IF(M$16=0,0,M12/M$16)</f>
        <v>0.00153488149325741</v>
      </c>
      <c r="N26" s="9" t="n">
        <f aca="false">IF(N$16=0,0,N12/N$16)</f>
        <v>0.0016032377839805</v>
      </c>
      <c r="O26" s="9" t="n">
        <f aca="false">IF(O$16=0,0,O12/O$16)</f>
        <v>0.00166396298237879</v>
      </c>
    </row>
    <row r="27" customFormat="false" ht="15" hidden="false" customHeight="false" outlineLevel="0" collapsed="false">
      <c r="A27" s="5" t="str">
        <f aca="false">A13</f>
        <v>Outros</v>
      </c>
      <c r="B27" s="2" t="str">
        <f aca="false">B13</f>
        <v>OUTROS</v>
      </c>
      <c r="C27" s="9" t="n">
        <f aca="false">IF(C$16=0,0,C13/C$16)</f>
        <v>0.000707322240720118</v>
      </c>
      <c r="D27" s="9" t="n">
        <f aca="false">IF(D$16=0,0,D13/D$16)</f>
        <v>0.000774390489897772</v>
      </c>
      <c r="E27" s="9" t="n">
        <f aca="false">IF(E$16=0,0,E13/E$16)</f>
        <v>0.000813540705433279</v>
      </c>
      <c r="F27" s="9" t="n">
        <f aca="false">IF(F$16=0,0,F13/F$16)</f>
        <v>0.00084752208296557</v>
      </c>
      <c r="G27" s="9" t="n">
        <f aca="false">IF(G$16=0,0,G13/G$16)</f>
        <v>0.000859858333123623</v>
      </c>
      <c r="H27" s="9" t="n">
        <f aca="false">IF(H$16=0,0,H13/H$16)</f>
        <v>0.000900393165927984</v>
      </c>
      <c r="I27" s="9" t="n">
        <f aca="false">IF(I$16=0,0,I13/I$16)</f>
        <v>0.000934103606940807</v>
      </c>
      <c r="J27" s="9" t="n">
        <f aca="false">IF(J$16=0,0,J13/J$16)</f>
        <v>0.000992753184754226</v>
      </c>
      <c r="K27" s="9" t="n">
        <f aca="false">IF(K$16=0,0,K13/K$16)</f>
        <v>0.00104182488221897</v>
      </c>
      <c r="L27" s="9" t="n">
        <f aca="false">IF(L$16=0,0,L13/L$16)</f>
        <v>0.00108345991322926</v>
      </c>
      <c r="M27" s="9" t="n">
        <f aca="false">IF(M$16=0,0,M13/M$16)</f>
        <v>0.001112610653508</v>
      </c>
      <c r="N27" s="9" t="n">
        <f aca="false">IF(N$16=0,0,N13/N$16)</f>
        <v>0.00112955440896812</v>
      </c>
      <c r="O27" s="9" t="n">
        <f aca="false">IF(O$16=0,0,O13/O$16)</f>
        <v>0.00119344265732252</v>
      </c>
    </row>
    <row r="28" customFormat="false" ht="15" hidden="false" customHeight="false" outlineLevel="0" collapsed="false">
      <c r="A28" s="5" t="str">
        <f aca="false">A14</f>
        <v>Datora</v>
      </c>
      <c r="B28" s="2" t="str">
        <f aca="false">B14</f>
        <v>DATORA</v>
      </c>
      <c r="C28" s="9" t="n">
        <f aca="false">IF(C$16=0,0,C14/C$16)</f>
        <v>0.000234293907704105</v>
      </c>
      <c r="D28" s="9" t="n">
        <f aca="false">IF(D$16=0,0,D14/D$16)</f>
        <v>0.000240003200843597</v>
      </c>
      <c r="E28" s="9" t="n">
        <f aca="false">IF(E$16=0,0,E14/E$16)</f>
        <v>0.000241199559531048</v>
      </c>
      <c r="F28" s="9" t="n">
        <f aca="false">IF(F$16=0,0,F14/F$16)</f>
        <v>0.000244268459568951</v>
      </c>
      <c r="G28" s="9" t="n">
        <f aca="false">IF(G$16=0,0,G14/G$16)</f>
        <v>0.000247193793729607</v>
      </c>
      <c r="H28" s="9" t="n">
        <f aca="false">IF(H$16=0,0,H14/H$16)</f>
        <v>0.00024937785128176</v>
      </c>
      <c r="I28" s="9" t="n">
        <f aca="false">IF(I$16=0,0,I14/I$16)</f>
        <v>0.000251639268942013</v>
      </c>
      <c r="J28" s="9" t="n">
        <f aca="false">IF(J$16=0,0,J14/J$16)</f>
        <v>0.000255546601746436</v>
      </c>
      <c r="K28" s="9" t="n">
        <f aca="false">IF(K$16=0,0,K14/K$16)</f>
        <v>0.000259477892052904</v>
      </c>
      <c r="L28" s="9" t="n">
        <f aca="false">IF(L$16=0,0,L14/L$16)</f>
        <v>0.000263274763282675</v>
      </c>
      <c r="M28" s="9" t="n">
        <f aca="false">IF(M$16=0,0,M14/M$16)</f>
        <v>0.000265162251326861</v>
      </c>
      <c r="N28" s="9" t="n">
        <f aca="false">IF(N$16=0,0,N14/N$16)</f>
        <v>0.000272911621826326</v>
      </c>
      <c r="O28" s="9" t="n">
        <f aca="false">IF(O$16=0,0,O14/O$16)</f>
        <v>0.000472371662387897</v>
      </c>
    </row>
    <row r="29" customFormat="false" ht="15" hidden="false" customHeight="false" outlineLevel="0" collapsed="false">
      <c r="A29" s="5" t="str">
        <f aca="false">A15</f>
        <v>Demais grupos</v>
      </c>
      <c r="B29" s="2" t="str">
        <f aca="false">B15</f>
        <v>DEMAIS GRUPOS</v>
      </c>
      <c r="C29" s="9" t="n">
        <f aca="false">IF(C$16=0,0,C15/C$16)</f>
        <v>0.000111267080120597</v>
      </c>
      <c r="D29" s="9" t="n">
        <f aca="false">IF(D$16=0,0,D15/D$16)</f>
        <v>0.000110231153796131</v>
      </c>
      <c r="E29" s="9" t="n">
        <f aca="false">IF(E$16=0,0,E15/E$16)</f>
        <v>0.000108790935919244</v>
      </c>
      <c r="F29" s="9" t="n">
        <f aca="false">IF(F$16=0,0,F15/F$16)</f>
        <v>0.000107356857780592</v>
      </c>
      <c r="G29" s="9" t="n">
        <f aca="false">IF(G$16=0,0,G15/G$16)</f>
        <v>0.000105645836486588</v>
      </c>
      <c r="H29" s="9" t="n">
        <f aca="false">IF(H$16=0,0,H15/H$16)</f>
        <v>7.95270980589614E-005</v>
      </c>
      <c r="I29" s="9" t="n">
        <f aca="false">IF(I$16=0,0,I15/I$16)</f>
        <v>7.94114700601144E-005</v>
      </c>
      <c r="J29" s="9" t="n">
        <f aca="false">IF(J$16=0,0,J15/J$16)</f>
        <v>7.82454944752209E-005</v>
      </c>
      <c r="K29" s="9" t="n">
        <f aca="false">IF(K$16=0,0,K15/K$16)</f>
        <v>7.69618421447396E-005</v>
      </c>
      <c r="L29" s="9" t="n">
        <f aca="false">IF(L$16=0,0,L15/L$16)</f>
        <v>7.52050896829237E-005</v>
      </c>
      <c r="M29" s="9" t="n">
        <f aca="false">IF(M$16=0,0,M15/M$16)</f>
        <v>7.24087819361314E-005</v>
      </c>
      <c r="N29" s="9" t="n">
        <f aca="false">IF(N$16=0,0,N15/N$16)</f>
        <v>7.06104816415425E-005</v>
      </c>
      <c r="O29" s="9" t="n">
        <f aca="false">IF(O$16=0,0,O15/O$16)</f>
        <v>6.95813140874762E-005</v>
      </c>
    </row>
    <row r="30" customFormat="false" ht="15" hidden="false" customHeight="false" outlineLevel="0" collapsed="false">
      <c r="A30" s="7" t="str">
        <f aca="false">A16</f>
        <v>Total</v>
      </c>
      <c r="C30" s="10" t="n">
        <f aca="false">IF(C$16=0,0,C16/C$16)</f>
        <v>1</v>
      </c>
      <c r="D30" s="10" t="n">
        <f aca="false">IF(D$16=0,0,D16/D$16)</f>
        <v>1</v>
      </c>
      <c r="E30" s="10" t="n">
        <f aca="false">IF(E$16=0,0,E16/E$16)</f>
        <v>1</v>
      </c>
      <c r="F30" s="10" t="n">
        <f aca="false">IF(F$16=0,0,F16/F$16)</f>
        <v>1</v>
      </c>
      <c r="G30" s="10" t="n">
        <f aca="false">IF(G$16=0,0,G16/G$16)</f>
        <v>1</v>
      </c>
      <c r="H30" s="10" t="n">
        <f aca="false">IF(H$16=0,0,H16/H$16)</f>
        <v>1</v>
      </c>
      <c r="I30" s="10" t="n">
        <f aca="false">IF(I$16=0,0,I16/I$16)</f>
        <v>1</v>
      </c>
      <c r="J30" s="10" t="n">
        <f aca="false">IF(J$16=0,0,J16/J$16)</f>
        <v>1</v>
      </c>
      <c r="K30" s="10" t="n">
        <f aca="false">IF(K$16=0,0,K16/K$16)</f>
        <v>1</v>
      </c>
      <c r="L30" s="10" t="n">
        <f aca="false">IF(L$16=0,0,L16/L$16)</f>
        <v>1</v>
      </c>
      <c r="M30" s="10" t="n">
        <f aca="false">IF(M$16=0,0,M16/M$16)</f>
        <v>1</v>
      </c>
      <c r="N30" s="10" t="n">
        <f aca="false">IF(N$16=0,0,N16/N$16)</f>
        <v>1</v>
      </c>
      <c r="O30" s="10" t="n">
        <f aca="false">IF(O$16=0,0,O16/O$16)</f>
        <v>1</v>
      </c>
    </row>
    <row r="32" customFormat="false" ht="15" hidden="false" customHeight="false" outlineLevel="0" collapsed="false">
      <c r="A32" s="3" t="s">
        <v>41</v>
      </c>
      <c r="B32" s="3" t="s">
        <v>3</v>
      </c>
      <c r="C32" s="4" t="s">
        <v>4</v>
      </c>
      <c r="D32" s="4" t="s">
        <v>5</v>
      </c>
      <c r="E32" s="4" t="s">
        <v>6</v>
      </c>
      <c r="F32" s="4" t="s">
        <v>7</v>
      </c>
      <c r="G32" s="4" t="s">
        <v>8</v>
      </c>
      <c r="H32" s="4" t="s">
        <v>9</v>
      </c>
      <c r="I32" s="4" t="s">
        <v>10</v>
      </c>
      <c r="J32" s="4" t="s">
        <v>11</v>
      </c>
      <c r="K32" s="4" t="s">
        <v>12</v>
      </c>
      <c r="L32" s="4" t="s">
        <v>13</v>
      </c>
      <c r="M32" s="4" t="s">
        <v>14</v>
      </c>
      <c r="N32" s="4" t="s">
        <v>15</v>
      </c>
      <c r="O32" s="4" t="s">
        <v>16</v>
      </c>
    </row>
    <row r="33" customFormat="false" ht="15" hidden="false" customHeight="false" outlineLevel="0" collapsed="false">
      <c r="A33" s="5" t="str">
        <f aca="false">A5</f>
        <v>Vivo</v>
      </c>
      <c r="B33" s="2" t="str">
        <f aca="false">B5</f>
        <v>TELEFONICA</v>
      </c>
      <c r="D33" s="11" t="n">
        <f aca="false">D5-C5</f>
        <v>-101675</v>
      </c>
      <c r="E33" s="11" t="n">
        <f aca="false">E5-D5</f>
        <v>-78826</v>
      </c>
      <c r="F33" s="11" t="n">
        <f aca="false">F5-E5</f>
        <v>-112424</v>
      </c>
      <c r="G33" s="11" t="n">
        <f aca="false">G5-F5</f>
        <v>-83435</v>
      </c>
      <c r="H33" s="11" t="n">
        <f aca="false">H5-G5</f>
        <v>8448</v>
      </c>
      <c r="I33" s="11" t="n">
        <f aca="false">I5-H5</f>
        <v>141407</v>
      </c>
      <c r="J33" s="11" t="n">
        <f aca="false">J5-I5</f>
        <v>78979</v>
      </c>
      <c r="K33" s="11" t="n">
        <f aca="false">K5-J5</f>
        <v>367076</v>
      </c>
      <c r="L33" s="11" t="n">
        <f aca="false">L5-K5</f>
        <v>415541</v>
      </c>
      <c r="M33" s="11" t="n">
        <f aca="false">M5-L5</f>
        <v>262831</v>
      </c>
      <c r="N33" s="11" t="n">
        <f aca="false">N5-M5</f>
        <v>249586</v>
      </c>
      <c r="O33" s="11" t="n">
        <f aca="false">O5-N5</f>
        <v>207856</v>
      </c>
    </row>
    <row r="34" customFormat="false" ht="15" hidden="false" customHeight="false" outlineLevel="0" collapsed="false">
      <c r="A34" s="5" t="str">
        <f aca="false">A6</f>
        <v>Claro</v>
      </c>
      <c r="B34" s="2" t="str">
        <f aca="false">B6</f>
        <v>TELECOM AMERICAS</v>
      </c>
      <c r="D34" s="11" t="n">
        <f aca="false">D6-C6</f>
        <v>-28137</v>
      </c>
      <c r="E34" s="11" t="n">
        <f aca="false">E6-D6</f>
        <v>144281</v>
      </c>
      <c r="F34" s="11" t="n">
        <f aca="false">F6-E6</f>
        <v>182695</v>
      </c>
      <c r="G34" s="11" t="n">
        <f aca="false">G6-F6</f>
        <v>234142</v>
      </c>
      <c r="H34" s="11" t="n">
        <f aca="false">H6-G6</f>
        <v>180519</v>
      </c>
      <c r="I34" s="11" t="n">
        <f aca="false">I6-H6</f>
        <v>509994</v>
      </c>
      <c r="J34" s="11" t="n">
        <f aca="false">J6-I6</f>
        <v>489654</v>
      </c>
      <c r="K34" s="11" t="n">
        <f aca="false">K6-J6</f>
        <v>204892</v>
      </c>
      <c r="L34" s="11" t="n">
        <f aca="false">L6-K6</f>
        <v>462777</v>
      </c>
      <c r="M34" s="11" t="n">
        <f aca="false">M6-L6</f>
        <v>95790</v>
      </c>
      <c r="N34" s="11" t="n">
        <f aca="false">N6-M6</f>
        <v>91465</v>
      </c>
      <c r="O34" s="11" t="n">
        <f aca="false">O6-N6</f>
        <v>374951</v>
      </c>
    </row>
    <row r="35" customFormat="false" ht="15" hidden="false" customHeight="false" outlineLevel="0" collapsed="false">
      <c r="A35" s="5" t="str">
        <f aca="false">A7</f>
        <v>TIM</v>
      </c>
      <c r="B35" s="2" t="str">
        <f aca="false">B7</f>
        <v>TELECOM ITALIA</v>
      </c>
      <c r="D35" s="11" t="n">
        <f aca="false">D7-C7</f>
        <v>-24328</v>
      </c>
      <c r="E35" s="11" t="n">
        <f aca="false">E7-D7</f>
        <v>-92930</v>
      </c>
      <c r="F35" s="11" t="n">
        <f aca="false">F7-E7</f>
        <v>-126368</v>
      </c>
      <c r="G35" s="11" t="n">
        <f aca="false">G7-F7</f>
        <v>-514392</v>
      </c>
      <c r="H35" s="11" t="n">
        <f aca="false">H7-G7</f>
        <v>-103221</v>
      </c>
      <c r="I35" s="11" t="n">
        <f aca="false">I7-H7</f>
        <v>-235887</v>
      </c>
      <c r="J35" s="11" t="n">
        <f aca="false">J7-I7</f>
        <v>171909</v>
      </c>
      <c r="K35" s="11" t="n">
        <f aca="false">K7-J7</f>
        <v>-228974</v>
      </c>
      <c r="L35" s="11" t="n">
        <f aca="false">L7-K7</f>
        <v>-16217</v>
      </c>
      <c r="M35" s="11" t="n">
        <f aca="false">M7-L7</f>
        <v>-167747</v>
      </c>
      <c r="N35" s="11" t="n">
        <f aca="false">N7-M7</f>
        <v>36294</v>
      </c>
      <c r="O35" s="11" t="n">
        <f aca="false">O7-N7</f>
        <v>-147350</v>
      </c>
    </row>
    <row r="36" customFormat="false" ht="15" hidden="false" customHeight="false" outlineLevel="0" collapsed="false">
      <c r="A36" s="5" t="str">
        <f aca="false">A8</f>
        <v>Surf Telecom</v>
      </c>
      <c r="B36" s="2" t="str">
        <f aca="false">B8</f>
        <v>SURF TELECOM</v>
      </c>
      <c r="D36" s="11" t="n">
        <f aca="false">D8-C8</f>
        <v>55210</v>
      </c>
      <c r="E36" s="11" t="n">
        <f aca="false">E8-D8</f>
        <v>131609</v>
      </c>
      <c r="F36" s="11" t="n">
        <f aca="false">F8-E8</f>
        <v>70808</v>
      </c>
      <c r="G36" s="11" t="n">
        <f aca="false">G8-F8</f>
        <v>34061</v>
      </c>
      <c r="H36" s="11" t="n">
        <f aca="false">H8-G8</f>
        <v>45666</v>
      </c>
      <c r="I36" s="11" t="n">
        <f aca="false">I8-H8</f>
        <v>40840</v>
      </c>
      <c r="J36" s="11" t="n">
        <f aca="false">J8-I8</f>
        <v>41581</v>
      </c>
      <c r="K36" s="11" t="n">
        <f aca="false">K8-J8</f>
        <v>58725</v>
      </c>
      <c r="L36" s="11" t="n">
        <f aca="false">L8-K8</f>
        <v>79389</v>
      </c>
      <c r="M36" s="11" t="n">
        <f aca="false">M8-L8</f>
        <v>74105</v>
      </c>
      <c r="N36" s="11" t="n">
        <f aca="false">N8-M8</f>
        <v>63705</v>
      </c>
      <c r="O36" s="11" t="n">
        <f aca="false">O8-N8</f>
        <v>19141</v>
      </c>
    </row>
    <row r="37" customFormat="false" ht="15" hidden="false" customHeight="false" outlineLevel="0" collapsed="false">
      <c r="A37" s="5" t="str">
        <f aca="false">A9</f>
        <v>Brisanet</v>
      </c>
      <c r="B37" s="2" t="str">
        <f aca="false">B9</f>
        <v>BRISANET</v>
      </c>
      <c r="D37" s="11" t="n">
        <f aca="false">D9-C9</f>
        <v>56527</v>
      </c>
      <c r="E37" s="11" t="n">
        <f aca="false">E9-D9</f>
        <v>61427</v>
      </c>
      <c r="F37" s="11" t="n">
        <f aca="false">F9-E9</f>
        <v>51517</v>
      </c>
      <c r="G37" s="11" t="n">
        <f aca="false">G9-F9</f>
        <v>38611</v>
      </c>
      <c r="H37" s="11" t="n">
        <f aca="false">H9-G9</f>
        <v>30728</v>
      </c>
      <c r="I37" s="11" t="n">
        <f aca="false">I9-H9</f>
        <v>30752</v>
      </c>
      <c r="J37" s="11" t="n">
        <f aca="false">J9-I9</f>
        <v>39802</v>
      </c>
      <c r="K37" s="11" t="n">
        <f aca="false">K9-J9</f>
        <v>36691</v>
      </c>
      <c r="L37" s="11" t="n">
        <f aca="false">L9-K9</f>
        <v>39205</v>
      </c>
      <c r="M37" s="11" t="n">
        <f aca="false">M9-L9</f>
        <v>40515</v>
      </c>
      <c r="N37" s="11" t="n">
        <f aca="false">N9-M9</f>
        <v>38656</v>
      </c>
      <c r="O37" s="11" t="n">
        <f aca="false">O9-N9</f>
        <v>36266</v>
      </c>
    </row>
    <row r="38" customFormat="false" ht="15" hidden="false" customHeight="false" outlineLevel="0" collapsed="false">
      <c r="A38" s="5" t="str">
        <f aca="false">A10</f>
        <v>Algar</v>
      </c>
      <c r="B38" s="2" t="str">
        <f aca="false">B10</f>
        <v>ALGAR (CTBC TELECOM)</v>
      </c>
      <c r="D38" s="11" t="n">
        <f aca="false">D10-C10</f>
        <v>499</v>
      </c>
      <c r="E38" s="11" t="n">
        <f aca="false">E10-D10</f>
        <v>-1165</v>
      </c>
      <c r="F38" s="11" t="n">
        <f aca="false">F10-E10</f>
        <v>-3066</v>
      </c>
      <c r="G38" s="11" t="n">
        <f aca="false">G10-F10</f>
        <v>5667</v>
      </c>
      <c r="H38" s="11" t="n">
        <f aca="false">H10-G10</f>
        <v>4072</v>
      </c>
      <c r="I38" s="11" t="n">
        <f aca="false">I10-H10</f>
        <v>-2329</v>
      </c>
      <c r="J38" s="11" t="n">
        <f aca="false">J10-I10</f>
        <v>-4138</v>
      </c>
      <c r="K38" s="11" t="n">
        <f aca="false">K10-J10</f>
        <v>-8452</v>
      </c>
      <c r="L38" s="11" t="n">
        <f aca="false">L10-K10</f>
        <v>-6904</v>
      </c>
      <c r="M38" s="11" t="n">
        <f aca="false">M10-L10</f>
        <v>-3444</v>
      </c>
      <c r="N38" s="11" t="n">
        <f aca="false">N10-M10</f>
        <v>-3697</v>
      </c>
      <c r="O38" s="11" t="n">
        <f aca="false">O10-N10</f>
        <v>-5884</v>
      </c>
    </row>
    <row r="39" customFormat="false" ht="15" hidden="false" customHeight="false" outlineLevel="0" collapsed="false">
      <c r="A39" s="5" t="str">
        <f aca="false">A11</f>
        <v>Vero</v>
      </c>
      <c r="B39" s="2" t="str">
        <f aca="false">B11</f>
        <v>VERO</v>
      </c>
      <c r="D39" s="11" t="n">
        <f aca="false">D11-C11</f>
        <v>14581</v>
      </c>
      <c r="E39" s="11" t="n">
        <f aca="false">E11-D11</f>
        <v>11913</v>
      </c>
      <c r="F39" s="11" t="n">
        <f aca="false">F11-E11</f>
        <v>15725</v>
      </c>
      <c r="G39" s="11" t="n">
        <f aca="false">G11-F11</f>
        <v>6165</v>
      </c>
      <c r="H39" s="11" t="n">
        <f aca="false">H11-G11</f>
        <v>10155</v>
      </c>
      <c r="I39" s="11" t="n">
        <f aca="false">I11-H11</f>
        <v>11929</v>
      </c>
      <c r="J39" s="11" t="n">
        <f aca="false">J11-I11</f>
        <v>11697</v>
      </c>
      <c r="K39" s="11" t="n">
        <f aca="false">K11-J11</f>
        <v>10348</v>
      </c>
      <c r="L39" s="11" t="n">
        <f aca="false">L11-K11</f>
        <v>8590</v>
      </c>
      <c r="M39" s="11" t="n">
        <f aca="false">M11-L11</f>
        <v>12328</v>
      </c>
      <c r="N39" s="11" t="n">
        <f aca="false">N11-M11</f>
        <v>16857</v>
      </c>
      <c r="O39" s="11" t="n">
        <f aca="false">O11-N11</f>
        <v>13553</v>
      </c>
    </row>
    <row r="40" customFormat="false" ht="15" hidden="false" customHeight="false" outlineLevel="0" collapsed="false">
      <c r="A40" s="5" t="str">
        <f aca="false">A12</f>
        <v>Unifique</v>
      </c>
      <c r="B40" s="2" t="str">
        <f aca="false">B12</f>
        <v>UNIFIQUE</v>
      </c>
      <c r="D40" s="11" t="n">
        <f aca="false">D12-C12</f>
        <v>13530</v>
      </c>
      <c r="E40" s="11" t="n">
        <f aca="false">E12-D12</f>
        <v>14403</v>
      </c>
      <c r="F40" s="11" t="n">
        <f aca="false">F12-E12</f>
        <v>12445</v>
      </c>
      <c r="G40" s="11" t="n">
        <f aca="false">G12-F12</f>
        <v>9700</v>
      </c>
      <c r="H40" s="11" t="n">
        <f aca="false">H12-G12</f>
        <v>13330</v>
      </c>
      <c r="I40" s="11" t="n">
        <f aca="false">I12-H12</f>
        <v>11800</v>
      </c>
      <c r="J40" s="11" t="n">
        <f aca="false">J12-I12</f>
        <v>14923</v>
      </c>
      <c r="K40" s="11" t="n">
        <f aca="false">K12-J12</f>
        <v>13728</v>
      </c>
      <c r="L40" s="11" t="n">
        <f aca="false">L12-K12</f>
        <v>14871</v>
      </c>
      <c r="M40" s="11" t="n">
        <f aca="false">M12-L12</f>
        <v>21017</v>
      </c>
      <c r="N40" s="11" t="n">
        <f aca="false">N12-M12</f>
        <v>15852</v>
      </c>
      <c r="O40" s="11" t="n">
        <f aca="false">O12-N12</f>
        <v>14332</v>
      </c>
    </row>
    <row r="41" customFormat="false" ht="15" hidden="false" customHeight="false" outlineLevel="0" collapsed="false">
      <c r="A41" s="5" t="str">
        <f aca="false">A13</f>
        <v>Outros</v>
      </c>
      <c r="B41" s="2" t="str">
        <f aca="false">B13</f>
        <v>OUTROS</v>
      </c>
      <c r="D41" s="11" t="n">
        <f aca="false">D13-C13</f>
        <v>14516</v>
      </c>
      <c r="E41" s="11" t="n">
        <f aca="false">E13-D13</f>
        <v>8635</v>
      </c>
      <c r="F41" s="11" t="n">
        <f aca="false">F13-E13</f>
        <v>7445</v>
      </c>
      <c r="G41" s="11" t="n">
        <f aca="false">G13-F13</f>
        <v>2444</v>
      </c>
      <c r="H41" s="11" t="n">
        <f aca="false">H13-G13</f>
        <v>8948</v>
      </c>
      <c r="I41" s="11" t="n">
        <f aca="false">I13-H13</f>
        <v>7786</v>
      </c>
      <c r="J41" s="11" t="n">
        <f aca="false">J13-I13</f>
        <v>13589</v>
      </c>
      <c r="K41" s="11" t="n">
        <f aca="false">K13-J13</f>
        <v>11184</v>
      </c>
      <c r="L41" s="11" t="n">
        <f aca="false">L13-K13</f>
        <v>10189</v>
      </c>
      <c r="M41" s="11" t="n">
        <f aca="false">M13-L13</f>
        <v>6779</v>
      </c>
      <c r="N41" s="11" t="n">
        <f aca="false">N13-M13</f>
        <v>4306</v>
      </c>
      <c r="O41" s="11" t="n">
        <f aca="false">O13-N13</f>
        <v>14760</v>
      </c>
    </row>
    <row r="42" customFormat="false" ht="15" hidden="false" customHeight="false" outlineLevel="0" collapsed="false">
      <c r="A42" s="5" t="str">
        <f aca="false">A14</f>
        <v>Datora</v>
      </c>
      <c r="B42" s="2" t="str">
        <f aca="false">B14</f>
        <v>DATORA</v>
      </c>
      <c r="D42" s="11" t="n">
        <f aca="false">D14-C14</f>
        <v>1236</v>
      </c>
      <c r="E42" s="11" t="n">
        <f aca="false">E14-D14</f>
        <v>307</v>
      </c>
      <c r="F42" s="11" t="n">
        <f aca="false">F14-E14</f>
        <v>689</v>
      </c>
      <c r="G42" s="11" t="n">
        <f aca="false">G14-F14</f>
        <v>568</v>
      </c>
      <c r="H42" s="11" t="n">
        <f aca="false">H14-G14</f>
        <v>521</v>
      </c>
      <c r="I42" s="11" t="n">
        <f aca="false">I14-H14</f>
        <v>620</v>
      </c>
      <c r="J42" s="11" t="n">
        <f aca="false">J14-I14</f>
        <v>1068</v>
      </c>
      <c r="K42" s="11" t="n">
        <f aca="false">K14-J14</f>
        <v>978</v>
      </c>
      <c r="L42" s="11" t="n">
        <f aca="false">L14-K14</f>
        <v>1095</v>
      </c>
      <c r="M42" s="11" t="n">
        <f aca="false">M14-L14</f>
        <v>505</v>
      </c>
      <c r="N42" s="11" t="n">
        <f aca="false">N14-M14</f>
        <v>1844</v>
      </c>
      <c r="O42" s="11" t="n">
        <f aca="false">O14-N14</f>
        <v>44221</v>
      </c>
    </row>
    <row r="43" customFormat="false" ht="15" hidden="false" customHeight="false" outlineLevel="0" collapsed="false">
      <c r="A43" s="5" t="str">
        <f aca="false">A15</f>
        <v>Demais grupos</v>
      </c>
      <c r="B43" s="2" t="str">
        <f aca="false">B15</f>
        <v>DEMAIS GRUPOS</v>
      </c>
      <c r="D43" s="11" t="n">
        <f aca="false">D15-C15</f>
        <v>-224</v>
      </c>
      <c r="E43" s="11" t="n">
        <f aca="false">E15-D15</f>
        <v>-290</v>
      </c>
      <c r="F43" s="11" t="n">
        <f aca="false">F15-E15</f>
        <v>-300</v>
      </c>
      <c r="G43" s="11" t="n">
        <f aca="false">G15-F15</f>
        <v>-399</v>
      </c>
      <c r="H43" s="11" t="n">
        <f aca="false">H15-G15</f>
        <v>-5638</v>
      </c>
      <c r="I43" s="11" t="n">
        <f aca="false">I15-H15</f>
        <v>16</v>
      </c>
      <c r="J43" s="11" t="n">
        <f aca="false">J15-I15</f>
        <v>-186</v>
      </c>
      <c r="K43" s="11" t="n">
        <f aca="false">K15-J15</f>
        <v>-244</v>
      </c>
      <c r="L43" s="11" t="n">
        <f aca="false">L15-K15</f>
        <v>-308</v>
      </c>
      <c r="M43" s="11" t="n">
        <f aca="false">M15-L15</f>
        <v>-589</v>
      </c>
      <c r="N43" s="11" t="n">
        <f aca="false">N15-M15</f>
        <v>-359</v>
      </c>
      <c r="O43" s="11" t="n">
        <f aca="false">O15-N15</f>
        <v>-187</v>
      </c>
    </row>
    <row r="44" customFormat="false" ht="15" hidden="false" customHeight="false" outlineLevel="0" collapsed="false">
      <c r="A44" s="7" t="str">
        <f aca="false">A16</f>
        <v>Total</v>
      </c>
      <c r="D44" s="12" t="n">
        <f aca="false">D16-C16</f>
        <v>1735</v>
      </c>
      <c r="E44" s="12" t="n">
        <f aca="false">E16-D16</f>
        <v>199364</v>
      </c>
      <c r="F44" s="12" t="n">
        <f aca="false">F16-E16</f>
        <v>99166</v>
      </c>
      <c r="G44" s="12" t="n">
        <f aca="false">G16-F16</f>
        <v>-266868</v>
      </c>
      <c r="H44" s="12" t="n">
        <f aca="false">H16-G16</f>
        <v>193528</v>
      </c>
      <c r="I44" s="12" t="n">
        <f aca="false">I16-H16</f>
        <v>516928</v>
      </c>
      <c r="J44" s="12" t="n">
        <f aca="false">J16-I16</f>
        <v>858878</v>
      </c>
      <c r="K44" s="12" t="n">
        <f aca="false">K16-J16</f>
        <v>465952</v>
      </c>
      <c r="L44" s="12" t="n">
        <f aca="false">L16-K16</f>
        <v>1008228</v>
      </c>
      <c r="M44" s="12" t="n">
        <f aca="false">M16-L16</f>
        <v>342090</v>
      </c>
      <c r="N44" s="12" t="n">
        <f aca="false">N16-M16</f>
        <v>514509</v>
      </c>
      <c r="O44" s="12" t="n">
        <f aca="false">O16-N16</f>
        <v>571659</v>
      </c>
    </row>
    <row r="46" customFormat="false" ht="15" hidden="false" customHeight="false" outlineLevel="0" collapsed="false">
      <c r="A46" s="3" t="s">
        <v>42</v>
      </c>
      <c r="B46" s="3"/>
      <c r="C46" s="3" t="s">
        <v>43</v>
      </c>
      <c r="D46" s="3" t="s">
        <v>44</v>
      </c>
    </row>
    <row r="47" customFormat="false" ht="15" hidden="false" customHeight="false" outlineLevel="0" collapsed="false">
      <c r="A47" s="5" t="str">
        <f aca="false">A5</f>
        <v>Vivo</v>
      </c>
      <c r="C47" s="13" t="n">
        <f aca="false">IF(C5=0,0,O5/C5-1)</f>
        <v>0.0160467607023453</v>
      </c>
      <c r="D47" s="14" t="n">
        <f aca="false">(O19-C19)*100</f>
        <v>-0.182383165275235</v>
      </c>
    </row>
    <row r="48" customFormat="false" ht="15" hidden="false" customHeight="false" outlineLevel="0" collapsed="false">
      <c r="A48" s="5" t="str">
        <f aca="false">A6</f>
        <v>Claro</v>
      </c>
      <c r="C48" s="13" t="n">
        <f aca="false">IF(C6=0,0,O6/C6-1)</f>
        <v>0.0406801507710992</v>
      </c>
      <c r="D48" s="14" t="n">
        <f aca="false">(O20-C20)*100</f>
        <v>0.650456393586041</v>
      </c>
    </row>
    <row r="49" customFormat="false" ht="15" hidden="false" customHeight="false" outlineLevel="0" collapsed="false">
      <c r="A49" s="5" t="str">
        <f aca="false">A7</f>
        <v>TIM</v>
      </c>
      <c r="C49" s="13" t="n">
        <f aca="false">IF(C7=0,0,O7/C7-1)</f>
        <v>-0.0260287113617247</v>
      </c>
      <c r="D49" s="14" t="n">
        <f aca="false">(O21-C21)*100</f>
        <v>-1.18062627589355</v>
      </c>
    </row>
    <row r="50" customFormat="false" ht="15" hidden="false" customHeight="false" outlineLevel="0" collapsed="false">
      <c r="A50" s="5" t="str">
        <f aca="false">A8</f>
        <v>Surf Telecom</v>
      </c>
      <c r="C50" s="13" t="n">
        <f aca="false">IF(C8=0,0,O8/C8-1)</f>
        <v>0.496539767150606</v>
      </c>
      <c r="D50" s="14" t="n">
        <f aca="false">(O22-C22)*100</f>
        <v>0.310006542120871</v>
      </c>
    </row>
    <row r="51" customFormat="false" ht="15" hidden="false" customHeight="false" outlineLevel="0" collapsed="false">
      <c r="A51" s="5" t="str">
        <f aca="false">A9</f>
        <v>Brisanet</v>
      </c>
      <c r="C51" s="13" t="n">
        <f aca="false">IF(C9=0,0,O9/C9-1)</f>
        <v>0.777258946603683</v>
      </c>
      <c r="D51" s="14" t="n">
        <f aca="false">(O23-C23)*100</f>
        <v>0.220570296503064</v>
      </c>
    </row>
    <row r="52" customFormat="false" ht="15" hidden="false" customHeight="false" outlineLevel="0" collapsed="false">
      <c r="A52" s="5" t="str">
        <f aca="false">A10</f>
        <v>Algar</v>
      </c>
      <c r="C52" s="13" t="n">
        <f aca="false">IF(C10=0,0,O10/C10-1)</f>
        <v>-0.0247190703072036</v>
      </c>
      <c r="D52" s="14" t="n">
        <f aca="false">(O24-C24)*100</f>
        <v>-0.0240490221904801</v>
      </c>
    </row>
    <row r="53" customFormat="false" ht="15" hidden="false" customHeight="false" outlineLevel="0" collapsed="false">
      <c r="A53" s="5" t="str">
        <f aca="false">A11</f>
        <v>Vero</v>
      </c>
      <c r="C53" s="13" t="n">
        <f aca="false">IF(C11=0,0,O11/C11-1)</f>
        <v>0.566599833771227</v>
      </c>
      <c r="D53" s="14" t="n">
        <f aca="false">(O25-C25)*100</f>
        <v>0.0627174299100159</v>
      </c>
    </row>
    <row r="54" customFormat="false" ht="15" hidden="false" customHeight="false" outlineLevel="0" collapsed="false">
      <c r="A54" s="5" t="str">
        <f aca="false">A12</f>
        <v>Unifique</v>
      </c>
      <c r="C54" s="13" t="n">
        <f aca="false">IF(C12=0,0,O12/C12-1)</f>
        <v>0.859652761617613</v>
      </c>
      <c r="D54" s="14" t="n">
        <f aca="false">(O26-C26)*100</f>
        <v>0.0750565607139633</v>
      </c>
    </row>
    <row r="55" customFormat="false" ht="15" hidden="false" customHeight="false" outlineLevel="0" collapsed="false">
      <c r="A55" s="5" t="str">
        <f aca="false">A13</f>
        <v>Outros</v>
      </c>
      <c r="C55" s="13" t="n">
        <f aca="false">IF(C13=0,0,O13/C13-1)</f>
        <v>0.722392798348533</v>
      </c>
      <c r="D55" s="14" t="n">
        <f aca="false">(O27-C27)*100</f>
        <v>0.0486120416602398</v>
      </c>
    </row>
    <row r="56" customFormat="false" ht="15" hidden="false" customHeight="false" outlineLevel="0" collapsed="false">
      <c r="A56" s="5" t="str">
        <f aca="false">A14</f>
        <v>Datora</v>
      </c>
      <c r="C56" s="13" t="n">
        <f aca="false">IF(C14=0,0,O14/C14-1)</f>
        <v>1.05812050093679</v>
      </c>
      <c r="D56" s="14" t="n">
        <f aca="false">(O28-C28)*100</f>
        <v>0.0238077754683792</v>
      </c>
    </row>
    <row r="57" customFormat="false" ht="15" hidden="false" customHeight="false" outlineLevel="0" collapsed="false">
      <c r="A57" s="5" t="str">
        <f aca="false">A15</f>
        <v>Demais grupos</v>
      </c>
      <c r="C57" s="13" t="n">
        <f aca="false">IF(C15=0,0,O15/C15-1)</f>
        <v>-0.361627906976744</v>
      </c>
      <c r="D57" s="14" t="n">
        <f aca="false">(O29-C29)*100</f>
        <v>-0.00416857660331203</v>
      </c>
    </row>
    <row r="58" customFormat="false" ht="15" hidden="false" customHeight="false" outlineLevel="0" collapsed="false">
      <c r="A58" s="7" t="str">
        <f aca="false">A16</f>
        <v>Total</v>
      </c>
      <c r="C58" s="13" t="n">
        <f aca="false">IF(C16=0,0,O16/C16-1)</f>
        <v>0.0208171511661057</v>
      </c>
      <c r="D58" s="14" t="n">
        <f aca="false">(O30-C30)*100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  <c r="B5" s="2" t="s">
        <v>18</v>
      </c>
      <c r="C5" s="6" t="n">
        <v>50976630</v>
      </c>
      <c r="D5" s="6" t="n">
        <v>51177046</v>
      </c>
      <c r="E5" s="6" t="n">
        <v>51390360</v>
      </c>
      <c r="F5" s="6" t="n">
        <v>51606349</v>
      </c>
      <c r="G5" s="6" t="n">
        <v>51886973</v>
      </c>
      <c r="H5" s="6" t="n">
        <v>52169296</v>
      </c>
      <c r="I5" s="6" t="n">
        <v>52427303</v>
      </c>
      <c r="J5" s="6" t="n">
        <v>52716713</v>
      </c>
      <c r="K5" s="6" t="n">
        <v>52952201</v>
      </c>
      <c r="L5" s="6" t="n">
        <v>53240072</v>
      </c>
      <c r="M5" s="6" t="n">
        <v>53447714</v>
      </c>
      <c r="N5" s="6" t="n">
        <v>53793159</v>
      </c>
      <c r="O5" s="6" t="n">
        <v>54084149</v>
      </c>
    </row>
    <row r="6" customFormat="false" ht="15" hidden="false" customHeight="false" outlineLevel="0" collapsed="false">
      <c r="A6" s="5" t="s">
        <v>19</v>
      </c>
      <c r="B6" s="2" t="s">
        <v>20</v>
      </c>
      <c r="C6" s="6" t="n">
        <v>40577810</v>
      </c>
      <c r="D6" s="6" t="n">
        <v>40829440</v>
      </c>
      <c r="E6" s="6" t="n">
        <v>41241477</v>
      </c>
      <c r="F6" s="6" t="n">
        <v>41507765</v>
      </c>
      <c r="G6" s="6" t="n">
        <v>41771124</v>
      </c>
      <c r="H6" s="6" t="n">
        <v>42167744</v>
      </c>
      <c r="I6" s="6" t="n">
        <v>42513403</v>
      </c>
      <c r="J6" s="6" t="n">
        <v>42902520</v>
      </c>
      <c r="K6" s="6" t="n">
        <v>43080402</v>
      </c>
      <c r="L6" s="6" t="n">
        <v>43468378</v>
      </c>
      <c r="M6" s="6" t="n">
        <v>43749109</v>
      </c>
      <c r="N6" s="6" t="n">
        <v>43887674</v>
      </c>
      <c r="O6" s="6" t="n">
        <v>44307767</v>
      </c>
    </row>
    <row r="7" customFormat="false" ht="15" hidden="false" customHeight="false" outlineLevel="0" collapsed="false">
      <c r="A7" s="5" t="s">
        <v>21</v>
      </c>
      <c r="B7" s="2" t="s">
        <v>22</v>
      </c>
      <c r="C7" s="6" t="n">
        <v>25261715</v>
      </c>
      <c r="D7" s="6" t="n">
        <v>25378092</v>
      </c>
      <c r="E7" s="6" t="n">
        <v>25480227</v>
      </c>
      <c r="F7" s="6" t="n">
        <v>25620502</v>
      </c>
      <c r="G7" s="6" t="n">
        <v>25693714</v>
      </c>
      <c r="H7" s="6" t="n">
        <v>25726533</v>
      </c>
      <c r="I7" s="6" t="n">
        <v>25794782</v>
      </c>
      <c r="J7" s="6" t="n">
        <v>25881363</v>
      </c>
      <c r="K7" s="6" t="n">
        <v>25991985</v>
      </c>
      <c r="L7" s="6" t="n">
        <v>26085499</v>
      </c>
      <c r="M7" s="6" t="n">
        <v>26128352</v>
      </c>
      <c r="N7" s="6" t="n">
        <v>26253124</v>
      </c>
      <c r="O7" s="6" t="n">
        <v>26336300</v>
      </c>
    </row>
    <row r="8" customFormat="false" ht="15" hidden="false" customHeight="false" outlineLevel="0" collapsed="false">
      <c r="A8" s="5" t="s">
        <v>25</v>
      </c>
      <c r="B8" s="2" t="s">
        <v>26</v>
      </c>
      <c r="C8" s="6" t="n">
        <v>644183</v>
      </c>
      <c r="D8" s="6" t="n">
        <v>700710</v>
      </c>
      <c r="E8" s="6" t="n">
        <v>762137</v>
      </c>
      <c r="F8" s="6" t="n">
        <v>813654</v>
      </c>
      <c r="G8" s="6" t="n">
        <v>852265</v>
      </c>
      <c r="H8" s="6" t="n">
        <v>882993</v>
      </c>
      <c r="I8" s="6" t="n">
        <v>913745</v>
      </c>
      <c r="J8" s="6" t="n">
        <v>953547</v>
      </c>
      <c r="K8" s="6" t="n">
        <v>990238</v>
      </c>
      <c r="L8" s="6" t="n">
        <v>1029443</v>
      </c>
      <c r="M8" s="6" t="n">
        <v>1069958</v>
      </c>
      <c r="N8" s="6" t="n">
        <v>1108614</v>
      </c>
      <c r="O8" s="6" t="n">
        <v>1144880</v>
      </c>
    </row>
    <row r="9" customFormat="false" ht="15" hidden="false" customHeight="false" outlineLevel="0" collapsed="false">
      <c r="A9" s="5" t="s">
        <v>23</v>
      </c>
      <c r="B9" s="2" t="s">
        <v>24</v>
      </c>
      <c r="C9" s="6" t="n">
        <v>615046</v>
      </c>
      <c r="D9" s="6" t="n">
        <v>627991</v>
      </c>
      <c r="E9" s="6" t="n">
        <v>667349</v>
      </c>
      <c r="F9" s="6" t="n">
        <v>726101</v>
      </c>
      <c r="G9" s="6" t="n">
        <v>746678</v>
      </c>
      <c r="H9" s="6" t="n">
        <v>776750</v>
      </c>
      <c r="I9" s="6" t="n">
        <v>806883</v>
      </c>
      <c r="J9" s="6" t="n">
        <v>831292</v>
      </c>
      <c r="K9" s="6" t="n">
        <v>868778</v>
      </c>
      <c r="L9" s="6" t="n">
        <v>919798</v>
      </c>
      <c r="M9" s="6" t="n">
        <v>970957</v>
      </c>
      <c r="N9" s="6" t="n">
        <v>1016681</v>
      </c>
      <c r="O9" s="6" t="n">
        <v>1033382</v>
      </c>
    </row>
    <row r="10" customFormat="false" ht="15" hidden="false" customHeight="false" outlineLevel="0" collapsed="false">
      <c r="A10" s="5" t="s">
        <v>27</v>
      </c>
      <c r="B10" s="2" t="s">
        <v>28</v>
      </c>
      <c r="C10" s="6" t="n">
        <v>659442</v>
      </c>
      <c r="D10" s="6" t="n">
        <v>659664</v>
      </c>
      <c r="E10" s="6" t="n">
        <v>659138</v>
      </c>
      <c r="F10" s="6" t="n">
        <v>659184</v>
      </c>
      <c r="G10" s="6" t="n">
        <v>661683</v>
      </c>
      <c r="H10" s="6" t="n">
        <v>659378</v>
      </c>
      <c r="I10" s="6" t="n">
        <v>657001</v>
      </c>
      <c r="J10" s="6" t="n">
        <v>656276</v>
      </c>
      <c r="K10" s="6" t="n">
        <v>653643</v>
      </c>
      <c r="L10" s="6" t="n">
        <v>652378</v>
      </c>
      <c r="M10" s="6" t="n">
        <v>652061</v>
      </c>
      <c r="N10" s="6" t="n">
        <v>653625</v>
      </c>
      <c r="O10" s="6" t="n">
        <v>655972</v>
      </c>
    </row>
    <row r="11" customFormat="false" ht="15" hidden="false" customHeight="false" outlineLevel="0" collapsed="false">
      <c r="A11" s="5" t="s">
        <v>29</v>
      </c>
      <c r="B11" s="2" t="s">
        <v>30</v>
      </c>
      <c r="C11" s="6" t="n">
        <v>253867</v>
      </c>
      <c r="D11" s="6" t="n">
        <v>268448</v>
      </c>
      <c r="E11" s="6" t="n">
        <v>280361</v>
      </c>
      <c r="F11" s="6" t="n">
        <v>296086</v>
      </c>
      <c r="G11" s="6" t="n">
        <v>302251</v>
      </c>
      <c r="H11" s="6" t="n">
        <v>312406</v>
      </c>
      <c r="I11" s="6" t="n">
        <v>324335</v>
      </c>
      <c r="J11" s="6" t="n">
        <v>336032</v>
      </c>
      <c r="K11" s="6" t="n">
        <v>346380</v>
      </c>
      <c r="L11" s="6" t="n">
        <v>354970</v>
      </c>
      <c r="M11" s="6" t="n">
        <v>367298</v>
      </c>
      <c r="N11" s="6" t="n">
        <v>384155</v>
      </c>
      <c r="O11" s="6" t="n">
        <v>397708</v>
      </c>
    </row>
    <row r="12" customFormat="false" ht="15" hidden="false" customHeight="false" outlineLevel="0" collapsed="false">
      <c r="A12" s="5" t="s">
        <v>31</v>
      </c>
      <c r="B12" s="2" t="s">
        <v>32</v>
      </c>
      <c r="C12" s="6" t="n">
        <v>180114</v>
      </c>
      <c r="D12" s="6" t="n">
        <v>193036</v>
      </c>
      <c r="E12" s="6" t="n">
        <v>206951</v>
      </c>
      <c r="F12" s="6" t="n">
        <v>219126</v>
      </c>
      <c r="G12" s="6" t="n">
        <v>228478</v>
      </c>
      <c r="H12" s="6" t="n">
        <v>241836</v>
      </c>
      <c r="I12" s="6" t="n">
        <v>253460</v>
      </c>
      <c r="J12" s="6" t="n">
        <v>268196</v>
      </c>
      <c r="K12" s="6" t="n">
        <v>281729</v>
      </c>
      <c r="L12" s="6" t="n">
        <v>294933</v>
      </c>
      <c r="M12" s="6" t="n">
        <v>310132</v>
      </c>
      <c r="N12" s="6" t="n">
        <v>325402</v>
      </c>
      <c r="O12" s="6" t="n">
        <v>340126</v>
      </c>
    </row>
    <row r="13" customFormat="false" ht="15" hidden="false" customHeight="false" outlineLevel="0" collapsed="false">
      <c r="A13" s="5" t="s">
        <v>33</v>
      </c>
      <c r="B13" s="2" t="s">
        <v>34</v>
      </c>
      <c r="C13" s="6" t="n">
        <v>88138</v>
      </c>
      <c r="D13" s="6" t="n">
        <v>96927</v>
      </c>
      <c r="E13" s="6" t="n">
        <v>100921</v>
      </c>
      <c r="F13" s="6" t="n">
        <v>103871</v>
      </c>
      <c r="G13" s="6" t="n">
        <v>106954</v>
      </c>
      <c r="H13" s="6" t="n">
        <v>111021</v>
      </c>
      <c r="I13" s="6" t="n">
        <v>114761</v>
      </c>
      <c r="J13" s="6" t="n">
        <v>121112</v>
      </c>
      <c r="K13" s="6" t="n">
        <v>126329</v>
      </c>
      <c r="L13" s="6" t="n">
        <v>130969</v>
      </c>
      <c r="M13" s="6" t="n">
        <v>133448</v>
      </c>
      <c r="N13" s="6" t="n">
        <v>137481</v>
      </c>
      <c r="O13" s="6" t="n">
        <v>141496</v>
      </c>
    </row>
    <row r="14" customFormat="false" ht="15" hidden="false" customHeight="false" outlineLevel="0" collapsed="false">
      <c r="A14" s="5" t="s">
        <v>35</v>
      </c>
      <c r="B14" s="2" t="s">
        <v>36</v>
      </c>
      <c r="C14" s="6" t="n">
        <v>50705</v>
      </c>
      <c r="D14" s="6" t="n">
        <v>51941</v>
      </c>
      <c r="E14" s="6" t="n">
        <v>52248</v>
      </c>
      <c r="F14" s="6" t="n">
        <v>52937</v>
      </c>
      <c r="G14" s="6" t="n">
        <v>53505</v>
      </c>
      <c r="H14" s="6" t="n">
        <v>54026</v>
      </c>
      <c r="I14" s="6" t="n">
        <v>54646</v>
      </c>
      <c r="J14" s="6" t="n">
        <v>55714</v>
      </c>
      <c r="K14" s="6" t="n">
        <v>56692</v>
      </c>
      <c r="L14" s="6" t="n">
        <v>57787</v>
      </c>
      <c r="M14" s="6" t="n">
        <v>58292</v>
      </c>
      <c r="N14" s="6" t="n">
        <v>60136</v>
      </c>
      <c r="O14" s="6" t="n">
        <v>104357</v>
      </c>
    </row>
    <row r="15" customFormat="false" ht="15" hidden="false" customHeight="false" outlineLevel="0" collapsed="false">
      <c r="A15" s="5" t="s">
        <v>37</v>
      </c>
      <c r="B15" s="2" t="s">
        <v>38</v>
      </c>
      <c r="C15" s="6" t="n">
        <v>7946</v>
      </c>
      <c r="D15" s="6" t="n">
        <v>7934</v>
      </c>
      <c r="E15" s="6" t="n">
        <v>7842</v>
      </c>
      <c r="F15" s="6" t="n">
        <v>7733</v>
      </c>
      <c r="G15" s="6" t="n">
        <v>7629</v>
      </c>
      <c r="H15" s="6" t="n">
        <v>2233</v>
      </c>
      <c r="I15" s="6" t="n">
        <v>2434</v>
      </c>
      <c r="J15" s="6" t="n">
        <v>2418</v>
      </c>
      <c r="K15" s="6" t="n">
        <v>2406</v>
      </c>
      <c r="L15" s="6" t="n">
        <v>2324</v>
      </c>
      <c r="M15" s="6" t="n">
        <v>2280</v>
      </c>
      <c r="N15" s="6" t="n">
        <v>2153</v>
      </c>
      <c r="O15" s="6" t="n">
        <v>2139</v>
      </c>
    </row>
    <row r="16" customFormat="false" ht="15" hidden="false" customHeight="false" outlineLevel="0" collapsed="false">
      <c r="A16" s="7" t="s">
        <v>39</v>
      </c>
      <c r="C16" s="8" t="n">
        <f aca="false">SUM(C5:C15)</f>
        <v>119315596</v>
      </c>
      <c r="D16" s="8" t="n">
        <f aca="false">SUM(D5:D15)</f>
        <v>119991229</v>
      </c>
      <c r="E16" s="8" t="n">
        <f aca="false">SUM(E5:E15)</f>
        <v>120849011</v>
      </c>
      <c r="F16" s="8" t="n">
        <f aca="false">SUM(F5:F15)</f>
        <v>121613308</v>
      </c>
      <c r="G16" s="8" t="n">
        <f aca="false">SUM(G5:G15)</f>
        <v>122311254</v>
      </c>
      <c r="H16" s="8" t="n">
        <f aca="false">SUM(H5:H15)</f>
        <v>123104216</v>
      </c>
      <c r="I16" s="8" t="n">
        <f aca="false">SUM(I5:I15)</f>
        <v>123862753</v>
      </c>
      <c r="J16" s="8" t="n">
        <f aca="false">SUM(J5:J15)</f>
        <v>124725183</v>
      </c>
      <c r="K16" s="8" t="n">
        <f aca="false">SUM(K5:K15)</f>
        <v>125350783</v>
      </c>
      <c r="L16" s="8" t="n">
        <f aca="false">SUM(L5:L15)</f>
        <v>126236551</v>
      </c>
      <c r="M16" s="8" t="n">
        <f aca="false">SUM(M5:M15)</f>
        <v>126889601</v>
      </c>
      <c r="N16" s="8" t="n">
        <f aca="false">SUM(N5:N15)</f>
        <v>127622204</v>
      </c>
      <c r="O16" s="8" t="n">
        <f aca="false">SUM(O5:O15)</f>
        <v>128548276</v>
      </c>
    </row>
    <row r="18" customFormat="false" ht="15" hidden="false" customHeight="false" outlineLevel="0" collapsed="false">
      <c r="A18" s="3" t="s">
        <v>40</v>
      </c>
      <c r="B18" s="3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4" t="s">
        <v>8</v>
      </c>
      <c r="H18" s="4" t="s">
        <v>9</v>
      </c>
      <c r="I18" s="4" t="s">
        <v>10</v>
      </c>
      <c r="J18" s="4" t="s">
        <v>11</v>
      </c>
      <c r="K18" s="4" t="s">
        <v>12</v>
      </c>
      <c r="L18" s="4" t="s">
        <v>13</v>
      </c>
      <c r="M18" s="4" t="s">
        <v>14</v>
      </c>
      <c r="N18" s="4" t="s">
        <v>15</v>
      </c>
      <c r="O18" s="4" t="s">
        <v>16</v>
      </c>
    </row>
    <row r="19" customFormat="false" ht="15" hidden="false" customHeight="false" outlineLevel="0" collapsed="false">
      <c r="A19" s="5" t="str">
        <f aca="false">A5</f>
        <v>Vivo</v>
      </c>
      <c r="B19" s="2" t="str">
        <f aca="false">B5</f>
        <v>TELEFONICA</v>
      </c>
      <c r="C19" s="9" t="n">
        <f aca="false">IF(C$16=0,0,C5/C$16)</f>
        <v>0.427241967596592</v>
      </c>
      <c r="D19" s="9" t="n">
        <f aca="false">IF(D$16=0,0,D5/D$16)</f>
        <v>0.426506557408459</v>
      </c>
      <c r="E19" s="9" t="n">
        <f aca="false">IF(E$16=0,0,E5/E$16)</f>
        <v>0.425244357192133</v>
      </c>
      <c r="F19" s="9" t="n">
        <f aca="false">IF(F$16=0,0,F5/F$16)</f>
        <v>0.424347876467598</v>
      </c>
      <c r="G19" s="9" t="n">
        <f aca="false">IF(G$16=0,0,G5/G$16)</f>
        <v>0.424220758949949</v>
      </c>
      <c r="H19" s="9" t="n">
        <f aca="false">IF(H$16=0,0,H5/H$16)</f>
        <v>0.423781554321421</v>
      </c>
      <c r="I19" s="9" t="n">
        <f aca="false">IF(I$16=0,0,I5/I$16)</f>
        <v>0.423269318097588</v>
      </c>
      <c r="J19" s="9" t="n">
        <f aca="false">IF(J$16=0,0,J5/J$16)</f>
        <v>0.422662943697585</v>
      </c>
      <c r="K19" s="9" t="n">
        <f aca="false">IF(K$16=0,0,K5/K$16)</f>
        <v>0.422432151859793</v>
      </c>
      <c r="L19" s="9" t="n">
        <f aca="false">IF(L$16=0,0,L5/L$16)</f>
        <v>0.421748468080374</v>
      </c>
      <c r="M19" s="9" t="n">
        <f aca="false">IF(M$16=0,0,M5/M$16)</f>
        <v>0.421214296355144</v>
      </c>
      <c r="N19" s="9" t="n">
        <f aca="false">IF(N$16=0,0,N5/N$16)</f>
        <v>0.421503134360538</v>
      </c>
      <c r="O19" s="9" t="n">
        <f aca="false">IF(O$16=0,0,O5/O$16)</f>
        <v>0.420730255456713</v>
      </c>
    </row>
    <row r="20" customFormat="false" ht="15" hidden="false" customHeight="false" outlineLevel="0" collapsed="false">
      <c r="A20" s="5" t="str">
        <f aca="false">A6</f>
        <v>Claro</v>
      </c>
      <c r="B20" s="2" t="str">
        <f aca="false">B6</f>
        <v>TELECOM AMERICAS</v>
      </c>
      <c r="C20" s="9" t="n">
        <f aca="false">IF(C$16=0,0,C6/C$16)</f>
        <v>0.34008806359229</v>
      </c>
      <c r="D20" s="9" t="n">
        <f aca="false">IF(D$16=0,0,D6/D$16)</f>
        <v>0.340270204249679</v>
      </c>
      <c r="E20" s="9" t="n">
        <f aca="false">IF(E$16=0,0,E6/E$16)</f>
        <v>0.341264497398328</v>
      </c>
      <c r="F20" s="9" t="n">
        <f aca="false">IF(F$16=0,0,F6/F$16)</f>
        <v>0.341309398474713</v>
      </c>
      <c r="G20" s="9" t="n">
        <f aca="false">IF(G$16=0,0,G6/G$16)</f>
        <v>0.341514968033931</v>
      </c>
      <c r="H20" s="9" t="n">
        <f aca="false">IF(H$16=0,0,H6/H$16)</f>
        <v>0.342536960716276</v>
      </c>
      <c r="I20" s="9" t="n">
        <f aca="false">IF(I$16=0,0,I6/I$16)</f>
        <v>0.3432299215891</v>
      </c>
      <c r="J20" s="9" t="n">
        <f aca="false">IF(J$16=0,0,J6/J$16)</f>
        <v>0.343976404508462</v>
      </c>
      <c r="K20" s="9" t="n">
        <f aca="false">IF(K$16=0,0,K6/K$16)</f>
        <v>0.343678762660781</v>
      </c>
      <c r="L20" s="9" t="n">
        <f aca="false">IF(L$16=0,0,L6/L$16)</f>
        <v>0.344340665644454</v>
      </c>
      <c r="M20" s="9" t="n">
        <f aca="false">IF(M$16=0,0,M6/M$16)</f>
        <v>0.344780885551055</v>
      </c>
      <c r="N20" s="9" t="n">
        <f aca="false">IF(N$16=0,0,N6/N$16)</f>
        <v>0.34388744767329</v>
      </c>
      <c r="O20" s="9" t="n">
        <f aca="false">IF(O$16=0,0,O6/O$16)</f>
        <v>0.344678033643952</v>
      </c>
    </row>
    <row r="21" customFormat="false" ht="15" hidden="false" customHeight="false" outlineLevel="0" collapsed="false">
      <c r="A21" s="5" t="str">
        <f aca="false">A7</f>
        <v>TIM</v>
      </c>
      <c r="B21" s="2" t="str">
        <f aca="false">B7</f>
        <v>TELECOM ITALIA</v>
      </c>
      <c r="C21" s="9" t="n">
        <f aca="false">IF(C$16=0,0,C7/C$16)</f>
        <v>0.211721818830792</v>
      </c>
      <c r="D21" s="9" t="n">
        <f aca="false">IF(D$16=0,0,D7/D$16)</f>
        <v>0.211499558855256</v>
      </c>
      <c r="E21" s="9" t="n">
        <f aca="false">IF(E$16=0,0,E7/E$16)</f>
        <v>0.210843487995115</v>
      </c>
      <c r="F21" s="9" t="n">
        <f aca="false">IF(F$16=0,0,F7/F$16)</f>
        <v>0.210671861668297</v>
      </c>
      <c r="G21" s="9" t="n">
        <f aca="false">IF(G$16=0,0,G7/G$16)</f>
        <v>0.210068273848292</v>
      </c>
      <c r="H21" s="9" t="n">
        <f aca="false">IF(H$16=0,0,H7/H$16)</f>
        <v>0.208981737879717</v>
      </c>
      <c r="I21" s="9" t="n">
        <f aca="false">IF(I$16=0,0,I7/I$16)</f>
        <v>0.208252936215619</v>
      </c>
      <c r="J21" s="9" t="n">
        <f aca="false">IF(J$16=0,0,J7/J$16)</f>
        <v>0.207507115864484</v>
      </c>
      <c r="K21" s="9" t="n">
        <f aca="false">IF(K$16=0,0,K7/K$16)</f>
        <v>0.207353989962711</v>
      </c>
      <c r="L21" s="9" t="n">
        <f aca="false">IF(L$16=0,0,L7/L$16)</f>
        <v>0.206639826526946</v>
      </c>
      <c r="M21" s="9" t="n">
        <f aca="false">IF(M$16=0,0,M7/M$16)</f>
        <v>0.205914052799331</v>
      </c>
      <c r="N21" s="9" t="n">
        <f aca="false">IF(N$16=0,0,N7/N$16)</f>
        <v>0.205709689827955</v>
      </c>
      <c r="O21" s="9" t="n">
        <f aca="false">IF(O$16=0,0,O7/O$16)</f>
        <v>0.204874781829046</v>
      </c>
    </row>
    <row r="22" customFormat="false" ht="15" hidden="false" customHeight="false" outlineLevel="0" collapsed="false">
      <c r="A22" s="5" t="str">
        <f aca="false">A8</f>
        <v>Brisanet</v>
      </c>
      <c r="B22" s="2" t="str">
        <f aca="false">B8</f>
        <v>BRISANET</v>
      </c>
      <c r="C22" s="9" t="n">
        <f aca="false">IF(C$16=0,0,C8/C$16)</f>
        <v>0.00539898405234467</v>
      </c>
      <c r="D22" s="9" t="n">
        <f aca="false">IF(D$16=0,0,D8/D$16)</f>
        <v>0.00583967683171243</v>
      </c>
      <c r="E22" s="9" t="n">
        <f aca="false">IF(E$16=0,0,E8/E$16)</f>
        <v>0.00630652244228958</v>
      </c>
      <c r="F22" s="9" t="n">
        <f aca="false">IF(F$16=0,0,F8/F$16)</f>
        <v>0.00669050133888308</v>
      </c>
      <c r="G22" s="9" t="n">
        <f aca="false">IF(G$16=0,0,G8/G$16)</f>
        <v>0.00696800148905349</v>
      </c>
      <c r="H22" s="9" t="n">
        <f aca="false">IF(H$16=0,0,H8/H$16)</f>
        <v>0.00717272753680508</v>
      </c>
      <c r="I22" s="9" t="n">
        <f aca="false">IF(I$16=0,0,I8/I$16)</f>
        <v>0.00737707646462533</v>
      </c>
      <c r="J22" s="9" t="n">
        <f aca="false">IF(J$16=0,0,J8/J$16)</f>
        <v>0.00764518421271829</v>
      </c>
      <c r="K22" s="9" t="n">
        <f aca="false">IF(K$16=0,0,K8/K$16)</f>
        <v>0.0078997352573378</v>
      </c>
      <c r="L22" s="9" t="n">
        <f aca="false">IF(L$16=0,0,L8/L$16)</f>
        <v>0.00815487267233719</v>
      </c>
      <c r="M22" s="9" t="n">
        <f aca="false">IF(M$16=0,0,M8/M$16)</f>
        <v>0.00843219611038102</v>
      </c>
      <c r="N22" s="9" t="n">
        <f aca="false">IF(N$16=0,0,N8/N$16)</f>
        <v>0.00868668589989247</v>
      </c>
      <c r="O22" s="9" t="n">
        <f aca="false">IF(O$16=0,0,O8/O$16)</f>
        <v>0.00890622601581993</v>
      </c>
    </row>
    <row r="23" customFormat="false" ht="15" hidden="false" customHeight="false" outlineLevel="0" collapsed="false">
      <c r="A23" s="5" t="str">
        <f aca="false">A9</f>
        <v>Surf Telecom</v>
      </c>
      <c r="B23" s="2" t="str">
        <f aca="false">B9</f>
        <v>SURF TELECOM</v>
      </c>
      <c r="C23" s="9" t="n">
        <f aca="false">IF(C$16=0,0,C9/C$16)</f>
        <v>0.00515478295058762</v>
      </c>
      <c r="D23" s="9" t="n">
        <f aca="false">IF(D$16=0,0,D9/D$16)</f>
        <v>0.00523364086886717</v>
      </c>
      <c r="E23" s="9" t="n">
        <f aca="false">IF(E$16=0,0,E9/E$16)</f>
        <v>0.00552217179501783</v>
      </c>
      <c r="F23" s="9" t="n">
        <f aca="false">IF(F$16=0,0,F9/F$16)</f>
        <v>0.00597057190484449</v>
      </c>
      <c r="G23" s="9" t="n">
        <f aca="false">IF(G$16=0,0,G9/G$16)</f>
        <v>0.00610473669086902</v>
      </c>
      <c r="H23" s="9" t="n">
        <f aca="false">IF(H$16=0,0,H9/H$16)</f>
        <v>0.00630969454368647</v>
      </c>
      <c r="I23" s="9" t="n">
        <f aca="false">IF(I$16=0,0,I9/I$16)</f>
        <v>0.00651433122917912</v>
      </c>
      <c r="J23" s="9" t="n">
        <f aca="false">IF(J$16=0,0,J9/J$16)</f>
        <v>0.00666498921873701</v>
      </c>
      <c r="K23" s="9" t="n">
        <f aca="false">IF(K$16=0,0,K9/K$16)</f>
        <v>0.00693077441726072</v>
      </c>
      <c r="L23" s="9" t="n">
        <f aca="false">IF(L$16=0,0,L9/L$16)</f>
        <v>0.00728630489912545</v>
      </c>
      <c r="M23" s="9" t="n">
        <f aca="false">IF(M$16=0,0,M9/M$16)</f>
        <v>0.00765198245047677</v>
      </c>
      <c r="N23" s="9" t="n">
        <f aca="false">IF(N$16=0,0,N9/N$16)</f>
        <v>0.00796633319386962</v>
      </c>
      <c r="O23" s="9" t="n">
        <f aca="false">IF(O$16=0,0,O9/O$16)</f>
        <v>0.00803886315830482</v>
      </c>
    </row>
    <row r="24" customFormat="false" ht="15" hidden="false" customHeight="false" outlineLevel="0" collapsed="false">
      <c r="A24" s="5" t="str">
        <f aca="false">A10</f>
        <v>Algar</v>
      </c>
      <c r="B24" s="2" t="str">
        <f aca="false">B10</f>
        <v>ALGAR (CTBC TELECOM)</v>
      </c>
      <c r="C24" s="9" t="n">
        <f aca="false">IF(C$16=0,0,C10/C$16)</f>
        <v>0.00552687177625966</v>
      </c>
      <c r="D24" s="9" t="n">
        <f aca="false">IF(D$16=0,0,D10/D$16)</f>
        <v>0.00549760182888034</v>
      </c>
      <c r="E24" s="9" t="n">
        <f aca="false">IF(E$16=0,0,E10/E$16)</f>
        <v>0.0054542275070832</v>
      </c>
      <c r="F24" s="9" t="n">
        <f aca="false">IF(F$16=0,0,F10/F$16)</f>
        <v>0.00542032784767272</v>
      </c>
      <c r="G24" s="9" t="n">
        <f aca="false">IF(G$16=0,0,G10/G$16)</f>
        <v>0.00540982925414206</v>
      </c>
      <c r="H24" s="9" t="n">
        <f aca="false">IF(H$16=0,0,H10/H$16)</f>
        <v>0.00535625847290234</v>
      </c>
      <c r="I24" s="9" t="n">
        <f aca="false">IF(I$16=0,0,I10/I$16)</f>
        <v>0.00530426608554389</v>
      </c>
      <c r="J24" s="9" t="n">
        <f aca="false">IF(J$16=0,0,J10/J$16)</f>
        <v>0.00526177620440934</v>
      </c>
      <c r="K24" s="9" t="n">
        <f aca="false">IF(K$16=0,0,K10/K$16)</f>
        <v>0.00521451070632722</v>
      </c>
      <c r="L24" s="9" t="n">
        <f aca="false">IF(L$16=0,0,L10/L$16)</f>
        <v>0.00516790101465938</v>
      </c>
      <c r="M24" s="9" t="n">
        <f aca="false">IF(M$16=0,0,M10/M$16)</f>
        <v>0.0051388056614663</v>
      </c>
      <c r="N24" s="9" t="n">
        <f aca="false">IF(N$16=0,0,N10/N$16)</f>
        <v>0.00512156176208961</v>
      </c>
      <c r="O24" s="9" t="n">
        <f aca="false">IF(O$16=0,0,O10/O$16)</f>
        <v>0.00510292335620277</v>
      </c>
    </row>
    <row r="25" customFormat="false" ht="15" hidden="false" customHeight="false" outlineLevel="0" collapsed="false">
      <c r="A25" s="5" t="str">
        <f aca="false">A11</f>
        <v>Vero</v>
      </c>
      <c r="B25" s="2" t="str">
        <f aca="false">B11</f>
        <v>VERO</v>
      </c>
      <c r="C25" s="9" t="n">
        <f aca="false">IF(C$16=0,0,C11/C$16)</f>
        <v>0.00212769334865494</v>
      </c>
      <c r="D25" s="9" t="n">
        <f aca="false">IF(D$16=0,0,D11/D$16)</f>
        <v>0.00223723018954994</v>
      </c>
      <c r="E25" s="9" t="n">
        <f aca="false">IF(E$16=0,0,E11/E$16)</f>
        <v>0.00231992796366368</v>
      </c>
      <c r="F25" s="9" t="n">
        <f aca="false">IF(F$16=0,0,F11/F$16)</f>
        <v>0.00243465131299611</v>
      </c>
      <c r="G25" s="9" t="n">
        <f aca="false">IF(G$16=0,0,G11/G$16)</f>
        <v>0.00247116262907418</v>
      </c>
      <c r="H25" s="9" t="n">
        <f aca="false">IF(H$16=0,0,H11/H$16)</f>
        <v>0.00253773599435457</v>
      </c>
      <c r="I25" s="9" t="n">
        <f aca="false">IF(I$16=0,0,I11/I$16)</f>
        <v>0.00261850307816104</v>
      </c>
      <c r="J25" s="9" t="n">
        <f aca="false">IF(J$16=0,0,J11/J$16)</f>
        <v>0.00269417925007174</v>
      </c>
      <c r="K25" s="9" t="n">
        <f aca="false">IF(K$16=0,0,K11/K$16)</f>
        <v>0.00276328549140375</v>
      </c>
      <c r="L25" s="9" t="n">
        <f aca="false">IF(L$16=0,0,L11/L$16)</f>
        <v>0.00281194311146856</v>
      </c>
      <c r="M25" s="9" t="n">
        <f aca="false">IF(M$16=0,0,M11/M$16)</f>
        <v>0.00289462648716186</v>
      </c>
      <c r="N25" s="9" t="n">
        <f aca="false">IF(N$16=0,0,N11/N$16)</f>
        <v>0.00301009532792585</v>
      </c>
      <c r="O25" s="9" t="n">
        <f aca="false">IF(O$16=0,0,O11/O$16)</f>
        <v>0.00309384156968391</v>
      </c>
    </row>
    <row r="26" customFormat="false" ht="15" hidden="false" customHeight="false" outlineLevel="0" collapsed="false">
      <c r="A26" s="5" t="str">
        <f aca="false">A12</f>
        <v>Unifique</v>
      </c>
      <c r="B26" s="2" t="str">
        <f aca="false">B12</f>
        <v>UNIFIQUE</v>
      </c>
      <c r="C26" s="9" t="n">
        <f aca="false">IF(C$16=0,0,C12/C$16)</f>
        <v>0.00150955957174283</v>
      </c>
      <c r="D26" s="9" t="n">
        <f aca="false">IF(D$16=0,0,D12/D$16)</f>
        <v>0.0016087509196193</v>
      </c>
      <c r="E26" s="9" t="n">
        <f aca="false">IF(E$16=0,0,E12/E$16)</f>
        <v>0.00171247574380232</v>
      </c>
      <c r="F26" s="9" t="n">
        <f aca="false">IF(F$16=0,0,F12/F$16)</f>
        <v>0.00180182583307412</v>
      </c>
      <c r="G26" s="9" t="n">
        <f aca="false">IF(G$16=0,0,G12/G$16)</f>
        <v>0.00186800472178954</v>
      </c>
      <c r="H26" s="9" t="n">
        <f aca="false">IF(H$16=0,0,H12/H$16)</f>
        <v>0.00196448186632373</v>
      </c>
      <c r="I26" s="9" t="n">
        <f aca="false">IF(I$16=0,0,I12/I$16)</f>
        <v>0.00204629716247305</v>
      </c>
      <c r="J26" s="9" t="n">
        <f aca="false">IF(J$16=0,0,J12/J$16)</f>
        <v>0.00215029550207194</v>
      </c>
      <c r="K26" s="9" t="n">
        <f aca="false">IF(K$16=0,0,K12/K$16)</f>
        <v>0.00224752485191895</v>
      </c>
      <c r="L26" s="9" t="n">
        <f aca="false">IF(L$16=0,0,L12/L$16)</f>
        <v>0.00233635185422644</v>
      </c>
      <c r="M26" s="9" t="n">
        <f aca="false">IF(M$16=0,0,M12/M$16)</f>
        <v>0.00244410887539949</v>
      </c>
      <c r="N26" s="9" t="n">
        <f aca="false">IF(N$16=0,0,N12/N$16)</f>
        <v>0.00254972872902273</v>
      </c>
      <c r="O26" s="9" t="n">
        <f aca="false">IF(O$16=0,0,O12/O$16)</f>
        <v>0.00264590090652013</v>
      </c>
    </row>
    <row r="27" customFormat="false" ht="15" hidden="false" customHeight="false" outlineLevel="0" collapsed="false">
      <c r="A27" s="5" t="str">
        <f aca="false">A13</f>
        <v>Outros</v>
      </c>
      <c r="B27" s="2" t="str">
        <f aca="false">B13</f>
        <v>OUTROS</v>
      </c>
      <c r="C27" s="9" t="n">
        <f aca="false">IF(C$16=0,0,C13/C$16)</f>
        <v>0.00073869638969913</v>
      </c>
      <c r="D27" s="9" t="n">
        <f aca="false">IF(D$16=0,0,D13/D$16)</f>
        <v>0.000807784042281957</v>
      </c>
      <c r="E27" s="9" t="n">
        <f aca="false">IF(E$16=0,0,E13/E$16)</f>
        <v>0.000835099924814445</v>
      </c>
      <c r="F27" s="9" t="n">
        <f aca="false">IF(F$16=0,0,F13/F$16)</f>
        <v>0.000854108828287115</v>
      </c>
      <c r="G27" s="9" t="n">
        <f aca="false">IF(G$16=0,0,G13/G$16)</f>
        <v>0.000874441202278901</v>
      </c>
      <c r="H27" s="9" t="n">
        <f aca="false">IF(H$16=0,0,H13/H$16)</f>
        <v>0.00090184563622094</v>
      </c>
      <c r="I27" s="9" t="n">
        <f aca="false">IF(I$16=0,0,I13/I$16)</f>
        <v>0.000926517433372404</v>
      </c>
      <c r="J27" s="9" t="n">
        <f aca="false">IF(J$16=0,0,J13/J$16)</f>
        <v>0.000971030846272641</v>
      </c>
      <c r="K27" s="9" t="n">
        <f aca="false">IF(K$16=0,0,K13/K$16)</f>
        <v>0.00100780383637492</v>
      </c>
      <c r="L27" s="9" t="n">
        <f aca="false">IF(L$16=0,0,L13/L$16)</f>
        <v>0.00103748873810724</v>
      </c>
      <c r="M27" s="9" t="n">
        <f aca="false">IF(M$16=0,0,M13/M$16)</f>
        <v>0.00105168586667713</v>
      </c>
      <c r="N27" s="9" t="n">
        <f aca="false">IF(N$16=0,0,N13/N$16)</f>
        <v>0.00107724984909366</v>
      </c>
      <c r="O27" s="9" t="n">
        <f aca="false">IF(O$16=0,0,O13/O$16)</f>
        <v>0.00110072265768854</v>
      </c>
    </row>
    <row r="28" customFormat="false" ht="15" hidden="false" customHeight="false" outlineLevel="0" collapsed="false">
      <c r="A28" s="5" t="str">
        <f aca="false">A14</f>
        <v>Datora</v>
      </c>
      <c r="B28" s="2" t="str">
        <f aca="false">B14</f>
        <v>DATORA</v>
      </c>
      <c r="C28" s="9" t="n">
        <f aca="false">IF(C$16=0,0,C14/C$16)</f>
        <v>0.000424965400164451</v>
      </c>
      <c r="D28" s="9" t="n">
        <f aca="false">IF(D$16=0,0,D14/D$16)</f>
        <v>0.000432873306098065</v>
      </c>
      <c r="E28" s="9" t="n">
        <f aca="false">IF(E$16=0,0,E14/E$16)</f>
        <v>0.000432341146755434</v>
      </c>
      <c r="F28" s="9" t="n">
        <f aca="false">IF(F$16=0,0,F14/F$16)</f>
        <v>0.000435289532622532</v>
      </c>
      <c r="G28" s="9" t="n">
        <f aca="false">IF(G$16=0,0,G14/G$16)</f>
        <v>0.000437449525290616</v>
      </c>
      <c r="H28" s="9" t="n">
        <f aca="false">IF(H$16=0,0,H14/H$16)</f>
        <v>0.000438863929729263</v>
      </c>
      <c r="I28" s="9" t="n">
        <f aca="false">IF(I$16=0,0,I14/I$16)</f>
        <v>0.000441181861992039</v>
      </c>
      <c r="J28" s="9" t="n">
        <f aca="false">IF(J$16=0,0,J14/J$16)</f>
        <v>0.000446694073000478</v>
      </c>
      <c r="K28" s="9" t="n">
        <f aca="false">IF(K$16=0,0,K14/K$16)</f>
        <v>0.000452266819904906</v>
      </c>
      <c r="L28" s="9" t="n">
        <f aca="false">IF(L$16=0,0,L14/L$16)</f>
        <v>0.000457767576365422</v>
      </c>
      <c r="M28" s="9" t="n">
        <f aca="false">IF(M$16=0,0,M14/M$16)</f>
        <v>0.000459391467390618</v>
      </c>
      <c r="N28" s="9" t="n">
        <f aca="false">IF(N$16=0,0,N14/N$16)</f>
        <v>0.00047120327117999</v>
      </c>
      <c r="O28" s="9" t="n">
        <f aca="false">IF(O$16=0,0,O14/O$16)</f>
        <v>0.000811811743006184</v>
      </c>
    </row>
    <row r="29" customFormat="false" ht="15" hidden="false" customHeight="false" outlineLevel="0" collapsed="false">
      <c r="A29" s="5" t="str">
        <f aca="false">A15</f>
        <v>Demais grupos</v>
      </c>
      <c r="B29" s="2" t="str">
        <f aca="false">B15</f>
        <v>DEMAIS GRUPOS</v>
      </c>
      <c r="C29" s="9" t="n">
        <f aca="false">IF(C$16=0,0,C15/C$16)</f>
        <v>6.65964908728277E-005</v>
      </c>
      <c r="D29" s="9" t="n">
        <f aca="false">IF(D$16=0,0,D15/D$16)</f>
        <v>6.61214995972747E-005</v>
      </c>
      <c r="E29" s="9" t="n">
        <f aca="false">IF(E$16=0,0,E15/E$16)</f>
        <v>6.48908909978585E-005</v>
      </c>
      <c r="F29" s="9" t="n">
        <f aca="false">IF(F$16=0,0,F15/F$16)</f>
        <v>6.35867910113916E-005</v>
      </c>
      <c r="G29" s="9" t="n">
        <f aca="false">IF(G$16=0,0,G15/G$16)</f>
        <v>6.23736553301955E-005</v>
      </c>
      <c r="H29" s="9" t="n">
        <f aca="false">IF(H$16=0,0,H15/H$16)</f>
        <v>1.81391025633111E-005</v>
      </c>
      <c r="I29" s="9" t="n">
        <f aca="false">IF(I$16=0,0,I15/I$16)</f>
        <v>1.96507823461666E-005</v>
      </c>
      <c r="J29" s="9" t="n">
        <f aca="false">IF(J$16=0,0,J15/J$16)</f>
        <v>1.93866221867961E-005</v>
      </c>
      <c r="K29" s="9" t="n">
        <f aca="false">IF(K$16=0,0,K15/K$16)</f>
        <v>1.91941361866084E-005</v>
      </c>
      <c r="L29" s="9" t="n">
        <f aca="false">IF(L$16=0,0,L15/L$16)</f>
        <v>1.84098819366508E-005</v>
      </c>
      <c r="M29" s="9" t="n">
        <f aca="false">IF(M$16=0,0,M15/M$16)</f>
        <v>1.79683755172341E-005</v>
      </c>
      <c r="N29" s="9" t="n">
        <f aca="false">IF(N$16=0,0,N15/N$16)</f>
        <v>1.68701051425189E-005</v>
      </c>
      <c r="O29" s="9" t="n">
        <f aca="false">IF(O$16=0,0,O15/O$16)</f>
        <v>1.6639663063237E-005</v>
      </c>
    </row>
    <row r="30" customFormat="false" ht="15" hidden="false" customHeight="false" outlineLevel="0" collapsed="false">
      <c r="A30" s="7" t="str">
        <f aca="false">A16</f>
        <v>Total</v>
      </c>
      <c r="C30" s="10" t="n">
        <f aca="false">IF(C$16=0,0,C16/C$16)</f>
        <v>1</v>
      </c>
      <c r="D30" s="10" t="n">
        <f aca="false">IF(D$16=0,0,D16/D$16)</f>
        <v>1</v>
      </c>
      <c r="E30" s="10" t="n">
        <f aca="false">IF(E$16=0,0,E16/E$16)</f>
        <v>1</v>
      </c>
      <c r="F30" s="10" t="n">
        <f aca="false">IF(F$16=0,0,F16/F$16)</f>
        <v>1</v>
      </c>
      <c r="G30" s="10" t="n">
        <f aca="false">IF(G$16=0,0,G16/G$16)</f>
        <v>1</v>
      </c>
      <c r="H30" s="10" t="n">
        <f aca="false">IF(H$16=0,0,H16/H$16)</f>
        <v>1</v>
      </c>
      <c r="I30" s="10" t="n">
        <f aca="false">IF(I$16=0,0,I16/I$16)</f>
        <v>1</v>
      </c>
      <c r="J30" s="10" t="n">
        <f aca="false">IF(J$16=0,0,J16/J$16)</f>
        <v>1</v>
      </c>
      <c r="K30" s="10" t="n">
        <f aca="false">IF(K$16=0,0,K16/K$16)</f>
        <v>1</v>
      </c>
      <c r="L30" s="10" t="n">
        <f aca="false">IF(L$16=0,0,L16/L$16)</f>
        <v>1</v>
      </c>
      <c r="M30" s="10" t="n">
        <f aca="false">IF(M$16=0,0,M16/M$16)</f>
        <v>1</v>
      </c>
      <c r="N30" s="10" t="n">
        <f aca="false">IF(N$16=0,0,N16/N$16)</f>
        <v>1</v>
      </c>
      <c r="O30" s="10" t="n">
        <f aca="false">IF(O$16=0,0,O16/O$16)</f>
        <v>1</v>
      </c>
    </row>
    <row r="32" customFormat="false" ht="15" hidden="false" customHeight="false" outlineLevel="0" collapsed="false">
      <c r="A32" s="3" t="s">
        <v>41</v>
      </c>
      <c r="B32" s="3" t="s">
        <v>3</v>
      </c>
      <c r="C32" s="4" t="s">
        <v>4</v>
      </c>
      <c r="D32" s="4" t="s">
        <v>5</v>
      </c>
      <c r="E32" s="4" t="s">
        <v>6</v>
      </c>
      <c r="F32" s="4" t="s">
        <v>7</v>
      </c>
      <c r="G32" s="4" t="s">
        <v>8</v>
      </c>
      <c r="H32" s="4" t="s">
        <v>9</v>
      </c>
      <c r="I32" s="4" t="s">
        <v>10</v>
      </c>
      <c r="J32" s="4" t="s">
        <v>11</v>
      </c>
      <c r="K32" s="4" t="s">
        <v>12</v>
      </c>
      <c r="L32" s="4" t="s">
        <v>13</v>
      </c>
      <c r="M32" s="4" t="s">
        <v>14</v>
      </c>
      <c r="N32" s="4" t="s">
        <v>15</v>
      </c>
      <c r="O32" s="4" t="s">
        <v>16</v>
      </c>
    </row>
    <row r="33" customFormat="false" ht="15" hidden="false" customHeight="false" outlineLevel="0" collapsed="false">
      <c r="A33" s="5" t="str">
        <f aca="false">A5</f>
        <v>Vivo</v>
      </c>
      <c r="B33" s="2" t="str">
        <f aca="false">B5</f>
        <v>TELEFONICA</v>
      </c>
      <c r="D33" s="11" t="n">
        <f aca="false">D5-C5</f>
        <v>200416</v>
      </c>
      <c r="E33" s="11" t="n">
        <f aca="false">E5-D5</f>
        <v>213314</v>
      </c>
      <c r="F33" s="11" t="n">
        <f aca="false">F5-E5</f>
        <v>215989</v>
      </c>
      <c r="G33" s="11" t="n">
        <f aca="false">G5-F5</f>
        <v>280624</v>
      </c>
      <c r="H33" s="11" t="n">
        <f aca="false">H5-G5</f>
        <v>282323</v>
      </c>
      <c r="I33" s="11" t="n">
        <f aca="false">I5-H5</f>
        <v>258007</v>
      </c>
      <c r="J33" s="11" t="n">
        <f aca="false">J5-I5</f>
        <v>289410</v>
      </c>
      <c r="K33" s="11" t="n">
        <f aca="false">K5-J5</f>
        <v>235488</v>
      </c>
      <c r="L33" s="11" t="n">
        <f aca="false">L5-K5</f>
        <v>287871</v>
      </c>
      <c r="M33" s="11" t="n">
        <f aca="false">M5-L5</f>
        <v>207642</v>
      </c>
      <c r="N33" s="11" t="n">
        <f aca="false">N5-M5</f>
        <v>345445</v>
      </c>
      <c r="O33" s="11" t="n">
        <f aca="false">O5-N5</f>
        <v>290990</v>
      </c>
    </row>
    <row r="34" customFormat="false" ht="15" hidden="false" customHeight="false" outlineLevel="0" collapsed="false">
      <c r="A34" s="5" t="str">
        <f aca="false">A6</f>
        <v>Claro</v>
      </c>
      <c r="B34" s="2" t="str">
        <f aca="false">B6</f>
        <v>TELECOM AMERICAS</v>
      </c>
      <c r="D34" s="11" t="n">
        <f aca="false">D6-C6</f>
        <v>251630</v>
      </c>
      <c r="E34" s="11" t="n">
        <f aca="false">E6-D6</f>
        <v>412037</v>
      </c>
      <c r="F34" s="11" t="n">
        <f aca="false">F6-E6</f>
        <v>266288</v>
      </c>
      <c r="G34" s="11" t="n">
        <f aca="false">G6-F6</f>
        <v>263359</v>
      </c>
      <c r="H34" s="11" t="n">
        <f aca="false">H6-G6</f>
        <v>396620</v>
      </c>
      <c r="I34" s="11" t="n">
        <f aca="false">I6-H6</f>
        <v>345659</v>
      </c>
      <c r="J34" s="11" t="n">
        <f aca="false">J6-I6</f>
        <v>389117</v>
      </c>
      <c r="K34" s="11" t="n">
        <f aca="false">K6-J6</f>
        <v>177882</v>
      </c>
      <c r="L34" s="11" t="n">
        <f aca="false">L6-K6</f>
        <v>387976</v>
      </c>
      <c r="M34" s="11" t="n">
        <f aca="false">M6-L6</f>
        <v>280731</v>
      </c>
      <c r="N34" s="11" t="n">
        <f aca="false">N6-M6</f>
        <v>138565</v>
      </c>
      <c r="O34" s="11" t="n">
        <f aca="false">O6-N6</f>
        <v>420093</v>
      </c>
    </row>
    <row r="35" customFormat="false" ht="15" hidden="false" customHeight="false" outlineLevel="0" collapsed="false">
      <c r="A35" s="5" t="str">
        <f aca="false">A7</f>
        <v>TIM</v>
      </c>
      <c r="B35" s="2" t="str">
        <f aca="false">B7</f>
        <v>TELECOM ITALIA</v>
      </c>
      <c r="D35" s="11" t="n">
        <f aca="false">D7-C7</f>
        <v>116377</v>
      </c>
      <c r="E35" s="11" t="n">
        <f aca="false">E7-D7</f>
        <v>102135</v>
      </c>
      <c r="F35" s="11" t="n">
        <f aca="false">F7-E7</f>
        <v>140275</v>
      </c>
      <c r="G35" s="11" t="n">
        <f aca="false">G7-F7</f>
        <v>73212</v>
      </c>
      <c r="H35" s="11" t="n">
        <f aca="false">H7-G7</f>
        <v>32819</v>
      </c>
      <c r="I35" s="11" t="n">
        <f aca="false">I7-H7</f>
        <v>68249</v>
      </c>
      <c r="J35" s="11" t="n">
        <f aca="false">J7-I7</f>
        <v>86581</v>
      </c>
      <c r="K35" s="11" t="n">
        <f aca="false">K7-J7</f>
        <v>110622</v>
      </c>
      <c r="L35" s="11" t="n">
        <f aca="false">L7-K7</f>
        <v>93514</v>
      </c>
      <c r="M35" s="11" t="n">
        <f aca="false">M7-L7</f>
        <v>42853</v>
      </c>
      <c r="N35" s="11" t="n">
        <f aca="false">N7-M7</f>
        <v>124772</v>
      </c>
      <c r="O35" s="11" t="n">
        <f aca="false">O7-N7</f>
        <v>83176</v>
      </c>
    </row>
    <row r="36" customFormat="false" ht="15" hidden="false" customHeight="false" outlineLevel="0" collapsed="false">
      <c r="A36" s="5" t="str">
        <f aca="false">A8</f>
        <v>Brisanet</v>
      </c>
      <c r="B36" s="2" t="str">
        <f aca="false">B8</f>
        <v>BRISANET</v>
      </c>
      <c r="D36" s="11" t="n">
        <f aca="false">D8-C8</f>
        <v>56527</v>
      </c>
      <c r="E36" s="11" t="n">
        <f aca="false">E8-D8</f>
        <v>61427</v>
      </c>
      <c r="F36" s="11" t="n">
        <f aca="false">F8-E8</f>
        <v>51517</v>
      </c>
      <c r="G36" s="11" t="n">
        <f aca="false">G8-F8</f>
        <v>38611</v>
      </c>
      <c r="H36" s="11" t="n">
        <f aca="false">H8-G8</f>
        <v>30728</v>
      </c>
      <c r="I36" s="11" t="n">
        <f aca="false">I8-H8</f>
        <v>30752</v>
      </c>
      <c r="J36" s="11" t="n">
        <f aca="false">J8-I8</f>
        <v>39802</v>
      </c>
      <c r="K36" s="11" t="n">
        <f aca="false">K8-J8</f>
        <v>36691</v>
      </c>
      <c r="L36" s="11" t="n">
        <f aca="false">L8-K8</f>
        <v>39205</v>
      </c>
      <c r="M36" s="11" t="n">
        <f aca="false">M8-L8</f>
        <v>40515</v>
      </c>
      <c r="N36" s="11" t="n">
        <f aca="false">N8-M8</f>
        <v>38656</v>
      </c>
      <c r="O36" s="11" t="n">
        <f aca="false">O8-N8</f>
        <v>36266</v>
      </c>
    </row>
    <row r="37" customFormat="false" ht="15" hidden="false" customHeight="false" outlineLevel="0" collapsed="false">
      <c r="A37" s="5" t="str">
        <f aca="false">A9</f>
        <v>Surf Telecom</v>
      </c>
      <c r="B37" s="2" t="str">
        <f aca="false">B9</f>
        <v>SURF TELECOM</v>
      </c>
      <c r="D37" s="11" t="n">
        <f aca="false">D9-C9</f>
        <v>12945</v>
      </c>
      <c r="E37" s="11" t="n">
        <f aca="false">E9-D9</f>
        <v>39358</v>
      </c>
      <c r="F37" s="11" t="n">
        <f aca="false">F9-E9</f>
        <v>58752</v>
      </c>
      <c r="G37" s="11" t="n">
        <f aca="false">G9-F9</f>
        <v>20577</v>
      </c>
      <c r="H37" s="11" t="n">
        <f aca="false">H9-G9</f>
        <v>30072</v>
      </c>
      <c r="I37" s="11" t="n">
        <f aca="false">I9-H9</f>
        <v>30133</v>
      </c>
      <c r="J37" s="11" t="n">
        <f aca="false">J9-I9</f>
        <v>24409</v>
      </c>
      <c r="K37" s="11" t="n">
        <f aca="false">K9-J9</f>
        <v>37486</v>
      </c>
      <c r="L37" s="11" t="n">
        <f aca="false">L9-K9</f>
        <v>51020</v>
      </c>
      <c r="M37" s="11" t="n">
        <f aca="false">M9-L9</f>
        <v>51159</v>
      </c>
      <c r="N37" s="11" t="n">
        <f aca="false">N9-M9</f>
        <v>45724</v>
      </c>
      <c r="O37" s="11" t="n">
        <f aca="false">O9-N9</f>
        <v>16701</v>
      </c>
    </row>
    <row r="38" customFormat="false" ht="15" hidden="false" customHeight="false" outlineLevel="0" collapsed="false">
      <c r="A38" s="5" t="str">
        <f aca="false">A10</f>
        <v>Algar</v>
      </c>
      <c r="B38" s="2" t="str">
        <f aca="false">B10</f>
        <v>ALGAR (CTBC TELECOM)</v>
      </c>
      <c r="D38" s="11" t="n">
        <f aca="false">D10-C10</f>
        <v>222</v>
      </c>
      <c r="E38" s="11" t="n">
        <f aca="false">E10-D10</f>
        <v>-526</v>
      </c>
      <c r="F38" s="11" t="n">
        <f aca="false">F10-E10</f>
        <v>46</v>
      </c>
      <c r="G38" s="11" t="n">
        <f aca="false">G10-F10</f>
        <v>2499</v>
      </c>
      <c r="H38" s="11" t="n">
        <f aca="false">H10-G10</f>
        <v>-2305</v>
      </c>
      <c r="I38" s="11" t="n">
        <f aca="false">I10-H10</f>
        <v>-2377</v>
      </c>
      <c r="J38" s="11" t="n">
        <f aca="false">J10-I10</f>
        <v>-725</v>
      </c>
      <c r="K38" s="11" t="n">
        <f aca="false">K10-J10</f>
        <v>-2633</v>
      </c>
      <c r="L38" s="11" t="n">
        <f aca="false">L10-K10</f>
        <v>-1265</v>
      </c>
      <c r="M38" s="11" t="n">
        <f aca="false">M10-L10</f>
        <v>-317</v>
      </c>
      <c r="N38" s="11" t="n">
        <f aca="false">N10-M10</f>
        <v>1564</v>
      </c>
      <c r="O38" s="11" t="n">
        <f aca="false">O10-N10</f>
        <v>2347</v>
      </c>
    </row>
    <row r="39" customFormat="false" ht="15" hidden="false" customHeight="false" outlineLevel="0" collapsed="false">
      <c r="A39" s="5" t="str">
        <f aca="false">A11</f>
        <v>Vero</v>
      </c>
      <c r="B39" s="2" t="str">
        <f aca="false">B11</f>
        <v>VERO</v>
      </c>
      <c r="D39" s="11" t="n">
        <f aca="false">D11-C11</f>
        <v>14581</v>
      </c>
      <c r="E39" s="11" t="n">
        <f aca="false">E11-D11</f>
        <v>11913</v>
      </c>
      <c r="F39" s="11" t="n">
        <f aca="false">F11-E11</f>
        <v>15725</v>
      </c>
      <c r="G39" s="11" t="n">
        <f aca="false">G11-F11</f>
        <v>6165</v>
      </c>
      <c r="H39" s="11" t="n">
        <f aca="false">H11-G11</f>
        <v>10155</v>
      </c>
      <c r="I39" s="11" t="n">
        <f aca="false">I11-H11</f>
        <v>11929</v>
      </c>
      <c r="J39" s="11" t="n">
        <f aca="false">J11-I11</f>
        <v>11697</v>
      </c>
      <c r="K39" s="11" t="n">
        <f aca="false">K11-J11</f>
        <v>10348</v>
      </c>
      <c r="L39" s="11" t="n">
        <f aca="false">L11-K11</f>
        <v>8590</v>
      </c>
      <c r="M39" s="11" t="n">
        <f aca="false">M11-L11</f>
        <v>12328</v>
      </c>
      <c r="N39" s="11" t="n">
        <f aca="false">N11-M11</f>
        <v>16857</v>
      </c>
      <c r="O39" s="11" t="n">
        <f aca="false">O11-N11</f>
        <v>13553</v>
      </c>
    </row>
    <row r="40" customFormat="false" ht="15" hidden="false" customHeight="false" outlineLevel="0" collapsed="false">
      <c r="A40" s="5" t="str">
        <f aca="false">A12</f>
        <v>Unifique</v>
      </c>
      <c r="B40" s="2" t="str">
        <f aca="false">B12</f>
        <v>UNIFIQUE</v>
      </c>
      <c r="D40" s="11" t="n">
        <f aca="false">D12-C12</f>
        <v>12922</v>
      </c>
      <c r="E40" s="11" t="n">
        <f aca="false">E12-D12</f>
        <v>13915</v>
      </c>
      <c r="F40" s="11" t="n">
        <f aca="false">F12-E12</f>
        <v>12175</v>
      </c>
      <c r="G40" s="11" t="n">
        <f aca="false">G12-F12</f>
        <v>9352</v>
      </c>
      <c r="H40" s="11" t="n">
        <f aca="false">H12-G12</f>
        <v>13358</v>
      </c>
      <c r="I40" s="11" t="n">
        <f aca="false">I12-H12</f>
        <v>11624</v>
      </c>
      <c r="J40" s="11" t="n">
        <f aca="false">J12-I12</f>
        <v>14736</v>
      </c>
      <c r="K40" s="11" t="n">
        <f aca="false">K12-J12</f>
        <v>13533</v>
      </c>
      <c r="L40" s="11" t="n">
        <f aca="false">L12-K12</f>
        <v>13204</v>
      </c>
      <c r="M40" s="11" t="n">
        <f aca="false">M12-L12</f>
        <v>15199</v>
      </c>
      <c r="N40" s="11" t="n">
        <f aca="false">N12-M12</f>
        <v>15270</v>
      </c>
      <c r="O40" s="11" t="n">
        <f aca="false">O12-N12</f>
        <v>14724</v>
      </c>
    </row>
    <row r="41" customFormat="false" ht="15" hidden="false" customHeight="false" outlineLevel="0" collapsed="false">
      <c r="A41" s="5" t="str">
        <f aca="false">A13</f>
        <v>Outros</v>
      </c>
      <c r="B41" s="2" t="str">
        <f aca="false">B13</f>
        <v>OUTROS</v>
      </c>
      <c r="D41" s="11" t="n">
        <f aca="false">D13-C13</f>
        <v>8789</v>
      </c>
      <c r="E41" s="11" t="n">
        <f aca="false">E13-D13</f>
        <v>3994</v>
      </c>
      <c r="F41" s="11" t="n">
        <f aca="false">F13-E13</f>
        <v>2950</v>
      </c>
      <c r="G41" s="11" t="n">
        <f aca="false">G13-F13</f>
        <v>3083</v>
      </c>
      <c r="H41" s="11" t="n">
        <f aca="false">H13-G13</f>
        <v>4067</v>
      </c>
      <c r="I41" s="11" t="n">
        <f aca="false">I13-H13</f>
        <v>3740</v>
      </c>
      <c r="J41" s="11" t="n">
        <f aca="false">J13-I13</f>
        <v>6351</v>
      </c>
      <c r="K41" s="11" t="n">
        <f aca="false">K13-J13</f>
        <v>5217</v>
      </c>
      <c r="L41" s="11" t="n">
        <f aca="false">L13-K13</f>
        <v>4640</v>
      </c>
      <c r="M41" s="11" t="n">
        <f aca="false">M13-L13</f>
        <v>2479</v>
      </c>
      <c r="N41" s="11" t="n">
        <f aca="false">N13-M13</f>
        <v>4033</v>
      </c>
      <c r="O41" s="11" t="n">
        <f aca="false">O13-N13</f>
        <v>4015</v>
      </c>
    </row>
    <row r="42" customFormat="false" ht="15" hidden="false" customHeight="false" outlineLevel="0" collapsed="false">
      <c r="A42" s="5" t="str">
        <f aca="false">A14</f>
        <v>Datora</v>
      </c>
      <c r="B42" s="2" t="str">
        <f aca="false">B14</f>
        <v>DATORA</v>
      </c>
      <c r="D42" s="11" t="n">
        <f aca="false">D14-C14</f>
        <v>1236</v>
      </c>
      <c r="E42" s="11" t="n">
        <f aca="false">E14-D14</f>
        <v>307</v>
      </c>
      <c r="F42" s="11" t="n">
        <f aca="false">F14-E14</f>
        <v>689</v>
      </c>
      <c r="G42" s="11" t="n">
        <f aca="false">G14-F14</f>
        <v>568</v>
      </c>
      <c r="H42" s="11" t="n">
        <f aca="false">H14-G14</f>
        <v>521</v>
      </c>
      <c r="I42" s="11" t="n">
        <f aca="false">I14-H14</f>
        <v>620</v>
      </c>
      <c r="J42" s="11" t="n">
        <f aca="false">J14-I14</f>
        <v>1068</v>
      </c>
      <c r="K42" s="11" t="n">
        <f aca="false">K14-J14</f>
        <v>978</v>
      </c>
      <c r="L42" s="11" t="n">
        <f aca="false">L14-K14</f>
        <v>1095</v>
      </c>
      <c r="M42" s="11" t="n">
        <f aca="false">M14-L14</f>
        <v>505</v>
      </c>
      <c r="N42" s="11" t="n">
        <f aca="false">N14-M14</f>
        <v>1844</v>
      </c>
      <c r="O42" s="11" t="n">
        <f aca="false">O14-N14</f>
        <v>44221</v>
      </c>
    </row>
    <row r="43" customFormat="false" ht="15" hidden="false" customHeight="false" outlineLevel="0" collapsed="false">
      <c r="A43" s="5" t="str">
        <f aca="false">A15</f>
        <v>Demais grupos</v>
      </c>
      <c r="B43" s="2" t="str">
        <f aca="false">B15</f>
        <v>DEMAIS GRUPOS</v>
      </c>
      <c r="D43" s="11" t="n">
        <f aca="false">D15-C15</f>
        <v>-12</v>
      </c>
      <c r="E43" s="11" t="n">
        <f aca="false">E15-D15</f>
        <v>-92</v>
      </c>
      <c r="F43" s="11" t="n">
        <f aca="false">F15-E15</f>
        <v>-109</v>
      </c>
      <c r="G43" s="11" t="n">
        <f aca="false">G15-F15</f>
        <v>-104</v>
      </c>
      <c r="H43" s="11" t="n">
        <f aca="false">H15-G15</f>
        <v>-5396</v>
      </c>
      <c r="I43" s="11" t="n">
        <f aca="false">I15-H15</f>
        <v>201</v>
      </c>
      <c r="J43" s="11" t="n">
        <f aca="false">J15-I15</f>
        <v>-16</v>
      </c>
      <c r="K43" s="11" t="n">
        <f aca="false">K15-J15</f>
        <v>-12</v>
      </c>
      <c r="L43" s="11" t="n">
        <f aca="false">L15-K15</f>
        <v>-82</v>
      </c>
      <c r="M43" s="11" t="n">
        <f aca="false">M15-L15</f>
        <v>-44</v>
      </c>
      <c r="N43" s="11" t="n">
        <f aca="false">N15-M15</f>
        <v>-127</v>
      </c>
      <c r="O43" s="11" t="n">
        <f aca="false">O15-N15</f>
        <v>-14</v>
      </c>
    </row>
    <row r="44" customFormat="false" ht="15" hidden="false" customHeight="false" outlineLevel="0" collapsed="false">
      <c r="A44" s="7" t="str">
        <f aca="false">A16</f>
        <v>Total</v>
      </c>
      <c r="D44" s="12" t="n">
        <f aca="false">D16-C16</f>
        <v>675633</v>
      </c>
      <c r="E44" s="12" t="n">
        <f aca="false">E16-D16</f>
        <v>857782</v>
      </c>
      <c r="F44" s="12" t="n">
        <f aca="false">F16-E16</f>
        <v>764297</v>
      </c>
      <c r="G44" s="12" t="n">
        <f aca="false">G16-F16</f>
        <v>697946</v>
      </c>
      <c r="H44" s="12" t="n">
        <f aca="false">H16-G16</f>
        <v>792962</v>
      </c>
      <c r="I44" s="12" t="n">
        <f aca="false">I16-H16</f>
        <v>758537</v>
      </c>
      <c r="J44" s="12" t="n">
        <f aca="false">J16-I16</f>
        <v>862430</v>
      </c>
      <c r="K44" s="12" t="n">
        <f aca="false">K16-J16</f>
        <v>625600</v>
      </c>
      <c r="L44" s="12" t="n">
        <f aca="false">L16-K16</f>
        <v>885768</v>
      </c>
      <c r="M44" s="12" t="n">
        <f aca="false">M16-L16</f>
        <v>653050</v>
      </c>
      <c r="N44" s="12" t="n">
        <f aca="false">N16-M16</f>
        <v>732603</v>
      </c>
      <c r="O44" s="12" t="n">
        <f aca="false">O16-N16</f>
        <v>926072</v>
      </c>
    </row>
    <row r="46" customFormat="false" ht="15" hidden="false" customHeight="false" outlineLevel="0" collapsed="false">
      <c r="A46" s="3" t="s">
        <v>42</v>
      </c>
      <c r="B46" s="3"/>
      <c r="C46" s="3" t="s">
        <v>43</v>
      </c>
      <c r="D46" s="3" t="s">
        <v>44</v>
      </c>
    </row>
    <row r="47" customFormat="false" ht="15" hidden="false" customHeight="false" outlineLevel="0" collapsed="false">
      <c r="A47" s="5" t="str">
        <f aca="false">A5</f>
        <v>Vivo</v>
      </c>
      <c r="C47" s="13" t="n">
        <f aca="false">IF(C5=0,0,O5/C5-1)</f>
        <v>0.0609596789744633</v>
      </c>
      <c r="D47" s="14" t="n">
        <f aca="false">(O19-C19)*100</f>
        <v>-0.651171213987889</v>
      </c>
    </row>
    <row r="48" customFormat="false" ht="15" hidden="false" customHeight="false" outlineLevel="0" collapsed="false">
      <c r="A48" s="5" t="str">
        <f aca="false">A6</f>
        <v>Claro</v>
      </c>
      <c r="C48" s="13" t="n">
        <f aca="false">IF(C6=0,0,O6/C6-1)</f>
        <v>0.0919211017055874</v>
      </c>
      <c r="D48" s="14" t="n">
        <f aca="false">(O20-C20)*100</f>
        <v>0.458997005166162</v>
      </c>
    </row>
    <row r="49" customFormat="false" ht="15" hidden="false" customHeight="false" outlineLevel="0" collapsed="false">
      <c r="A49" s="5" t="str">
        <f aca="false">A7</f>
        <v>TIM</v>
      </c>
      <c r="C49" s="13" t="n">
        <f aca="false">IF(C7=0,0,O7/C7-1)</f>
        <v>0.0425380857950459</v>
      </c>
      <c r="D49" s="14" t="n">
        <f aca="false">(O21-C21)*100</f>
        <v>-0.684703700174616</v>
      </c>
    </row>
    <row r="50" customFormat="false" ht="15" hidden="false" customHeight="false" outlineLevel="0" collapsed="false">
      <c r="A50" s="5" t="str">
        <f aca="false">A8</f>
        <v>Brisanet</v>
      </c>
      <c r="C50" s="13" t="n">
        <f aca="false">IF(C8=0,0,O8/C8-1)</f>
        <v>0.777258946603683</v>
      </c>
      <c r="D50" s="14" t="n">
        <f aca="false">(O22-C22)*100</f>
        <v>0.350724196347525</v>
      </c>
    </row>
    <row r="51" customFormat="false" ht="15" hidden="false" customHeight="false" outlineLevel="0" collapsed="false">
      <c r="A51" s="5" t="str">
        <f aca="false">A9</f>
        <v>Surf Telecom</v>
      </c>
      <c r="C51" s="13" t="n">
        <f aca="false">IF(C9=0,0,O9/C9-1)</f>
        <v>0.680170263687594</v>
      </c>
      <c r="D51" s="14" t="n">
        <f aca="false">(O23-C23)*100</f>
        <v>0.288408020771721</v>
      </c>
    </row>
    <row r="52" customFormat="false" ht="15" hidden="false" customHeight="false" outlineLevel="0" collapsed="false">
      <c r="A52" s="5" t="str">
        <f aca="false">A10</f>
        <v>Algar</v>
      </c>
      <c r="C52" s="13" t="n">
        <f aca="false">IF(C10=0,0,O10/C10-1)</f>
        <v>-0.00526202456015845</v>
      </c>
      <c r="D52" s="14" t="n">
        <f aca="false">(O24-C24)*100</f>
        <v>-0.042394842005689</v>
      </c>
    </row>
    <row r="53" customFormat="false" ht="15" hidden="false" customHeight="false" outlineLevel="0" collapsed="false">
      <c r="A53" s="5" t="str">
        <f aca="false">A11</f>
        <v>Vero</v>
      </c>
      <c r="C53" s="13" t="n">
        <f aca="false">IF(C11=0,0,O11/C11-1)</f>
        <v>0.566599833771227</v>
      </c>
      <c r="D53" s="14" t="n">
        <f aca="false">(O25-C25)*100</f>
        <v>0.0966148221028966</v>
      </c>
    </row>
    <row r="54" customFormat="false" ht="15" hidden="false" customHeight="false" outlineLevel="0" collapsed="false">
      <c r="A54" s="5" t="str">
        <f aca="false">A12</f>
        <v>Unifique</v>
      </c>
      <c r="C54" s="13" t="n">
        <f aca="false">IF(C12=0,0,O12/C12-1)</f>
        <v>0.888392906714636</v>
      </c>
      <c r="D54" s="14" t="n">
        <f aca="false">(O26-C26)*100</f>
        <v>0.113634133477731</v>
      </c>
    </row>
    <row r="55" customFormat="false" ht="15" hidden="false" customHeight="false" outlineLevel="0" collapsed="false">
      <c r="A55" s="5" t="str">
        <f aca="false">A13</f>
        <v>Outros</v>
      </c>
      <c r="C55" s="13" t="n">
        <f aca="false">IF(C13=0,0,O13/C13-1)</f>
        <v>0.605391545077038</v>
      </c>
      <c r="D55" s="14" t="n">
        <f aca="false">(O27-C27)*100</f>
        <v>0.036202626798941</v>
      </c>
    </row>
    <row r="56" customFormat="false" ht="15" hidden="false" customHeight="false" outlineLevel="0" collapsed="false">
      <c r="A56" s="5" t="str">
        <f aca="false">A14</f>
        <v>Datora</v>
      </c>
      <c r="C56" s="13" t="n">
        <f aca="false">IF(C14=0,0,O14/C14-1)</f>
        <v>1.05812050093679</v>
      </c>
      <c r="D56" s="14" t="n">
        <f aca="false">(O28-C28)*100</f>
        <v>0.0386846342841733</v>
      </c>
    </row>
    <row r="57" customFormat="false" ht="15" hidden="false" customHeight="false" outlineLevel="0" collapsed="false">
      <c r="A57" s="5" t="str">
        <f aca="false">A15</f>
        <v>Demais grupos</v>
      </c>
      <c r="C57" s="13" t="n">
        <f aca="false">IF(C15=0,0,O15/C15-1)</f>
        <v>-0.73080795368739</v>
      </c>
      <c r="D57" s="14" t="n">
        <f aca="false">(O29-C29)*100</f>
        <v>-0.00499568278095907</v>
      </c>
    </row>
    <row r="58" customFormat="false" ht="15" hidden="false" customHeight="false" outlineLevel="0" collapsed="false">
      <c r="A58" s="7" t="str">
        <f aca="false">A16</f>
        <v>Total</v>
      </c>
      <c r="C58" s="13" t="n">
        <f aca="false">IF(C16=0,0,O16/C16-1)</f>
        <v>0.0773803283855701</v>
      </c>
      <c r="D58" s="14" t="n">
        <f aca="false">(O30-C30)*100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  <c r="B5" s="2" t="s">
        <v>18</v>
      </c>
      <c r="C5" s="6" t="n">
        <v>33486772</v>
      </c>
      <c r="D5" s="6" t="n">
        <v>33184681</v>
      </c>
      <c r="E5" s="6" t="n">
        <v>32892541</v>
      </c>
      <c r="F5" s="6" t="n">
        <v>32564128</v>
      </c>
      <c r="G5" s="6" t="n">
        <v>32200069</v>
      </c>
      <c r="H5" s="6" t="n">
        <v>31926194</v>
      </c>
      <c r="I5" s="6" t="n">
        <v>31809594</v>
      </c>
      <c r="J5" s="6" t="n">
        <v>31599163</v>
      </c>
      <c r="K5" s="6" t="n">
        <v>31730751</v>
      </c>
      <c r="L5" s="6" t="n">
        <v>31858421</v>
      </c>
      <c r="M5" s="6" t="n">
        <v>31913610</v>
      </c>
      <c r="N5" s="6" t="n">
        <v>31817751</v>
      </c>
      <c r="O5" s="6" t="n">
        <v>31734617</v>
      </c>
    </row>
    <row r="6" customFormat="false" ht="15" hidden="false" customHeight="false" outlineLevel="0" collapsed="false">
      <c r="A6" s="5" t="s">
        <v>19</v>
      </c>
      <c r="B6" s="2" t="s">
        <v>20</v>
      </c>
      <c r="C6" s="6" t="n">
        <v>31767620</v>
      </c>
      <c r="D6" s="6" t="n">
        <v>31487853</v>
      </c>
      <c r="E6" s="6" t="n">
        <v>31220097</v>
      </c>
      <c r="F6" s="6" t="n">
        <v>31136504</v>
      </c>
      <c r="G6" s="6" t="n">
        <v>31107287</v>
      </c>
      <c r="H6" s="6" t="n">
        <v>30891186</v>
      </c>
      <c r="I6" s="6" t="n">
        <v>31055521</v>
      </c>
      <c r="J6" s="6" t="n">
        <v>31156058</v>
      </c>
      <c r="K6" s="6" t="n">
        <v>31183068</v>
      </c>
      <c r="L6" s="6" t="n">
        <v>31257869</v>
      </c>
      <c r="M6" s="6" t="n">
        <v>31072928</v>
      </c>
      <c r="N6" s="6" t="n">
        <v>31025828</v>
      </c>
      <c r="O6" s="6" t="n">
        <v>30980686</v>
      </c>
    </row>
    <row r="7" customFormat="false" ht="15" hidden="false" customHeight="false" outlineLevel="0" collapsed="false">
      <c r="A7" s="5" t="s">
        <v>21</v>
      </c>
      <c r="B7" s="2" t="s">
        <v>22</v>
      </c>
      <c r="C7" s="6" t="n">
        <v>30415686</v>
      </c>
      <c r="D7" s="6" t="n">
        <v>30274981</v>
      </c>
      <c r="E7" s="6" t="n">
        <v>30079916</v>
      </c>
      <c r="F7" s="6" t="n">
        <v>29813273</v>
      </c>
      <c r="G7" s="6" t="n">
        <v>29225669</v>
      </c>
      <c r="H7" s="6" t="n">
        <v>29089629</v>
      </c>
      <c r="I7" s="6" t="n">
        <v>28785493</v>
      </c>
      <c r="J7" s="6" t="n">
        <v>28870821</v>
      </c>
      <c r="K7" s="6" t="n">
        <v>28531225</v>
      </c>
      <c r="L7" s="6" t="n">
        <v>28421494</v>
      </c>
      <c r="M7" s="6" t="n">
        <v>28210894</v>
      </c>
      <c r="N7" s="6" t="n">
        <v>28122416</v>
      </c>
      <c r="O7" s="6" t="n">
        <v>27891890</v>
      </c>
    </row>
    <row r="8" customFormat="false" ht="15" hidden="false" customHeight="false" outlineLevel="0" collapsed="false">
      <c r="A8" s="5" t="s">
        <v>23</v>
      </c>
      <c r="B8" s="2" t="s">
        <v>24</v>
      </c>
      <c r="C8" s="6" t="n">
        <v>824597</v>
      </c>
      <c r="D8" s="6" t="n">
        <v>866862</v>
      </c>
      <c r="E8" s="6" t="n">
        <v>959113</v>
      </c>
      <c r="F8" s="6" t="n">
        <v>971169</v>
      </c>
      <c r="G8" s="6" t="n">
        <v>984653</v>
      </c>
      <c r="H8" s="6" t="n">
        <v>1000247</v>
      </c>
      <c r="I8" s="6" t="n">
        <v>1010954</v>
      </c>
      <c r="J8" s="6" t="n">
        <v>1028126</v>
      </c>
      <c r="K8" s="6" t="n">
        <v>1049365</v>
      </c>
      <c r="L8" s="6" t="n">
        <v>1077734</v>
      </c>
      <c r="M8" s="6" t="n">
        <v>1100680</v>
      </c>
      <c r="N8" s="6" t="n">
        <v>1118661</v>
      </c>
      <c r="O8" s="6" t="n">
        <v>1121101</v>
      </c>
    </row>
    <row r="9" customFormat="false" ht="15" hidden="false" customHeight="false" outlineLevel="0" collapsed="false">
      <c r="A9" s="5" t="s">
        <v>27</v>
      </c>
      <c r="B9" s="2" t="s">
        <v>28</v>
      </c>
      <c r="C9" s="6" t="n">
        <v>507309</v>
      </c>
      <c r="D9" s="6" t="n">
        <v>507586</v>
      </c>
      <c r="E9" s="6" t="n">
        <v>506947</v>
      </c>
      <c r="F9" s="6" t="n">
        <v>503835</v>
      </c>
      <c r="G9" s="6" t="n">
        <v>507003</v>
      </c>
      <c r="H9" s="6" t="n">
        <v>513380</v>
      </c>
      <c r="I9" s="6" t="n">
        <v>513428</v>
      </c>
      <c r="J9" s="6" t="n">
        <v>510015</v>
      </c>
      <c r="K9" s="6" t="n">
        <v>504196</v>
      </c>
      <c r="L9" s="6" t="n">
        <v>498557</v>
      </c>
      <c r="M9" s="6" t="n">
        <v>495430</v>
      </c>
      <c r="N9" s="6" t="n">
        <v>490169</v>
      </c>
      <c r="O9" s="6" t="n">
        <v>481938</v>
      </c>
    </row>
    <row r="10" customFormat="false" ht="15" hidden="false" customHeight="false" outlineLevel="0" collapsed="false">
      <c r="A10" s="5" t="s">
        <v>33</v>
      </c>
      <c r="B10" s="2" t="s">
        <v>34</v>
      </c>
      <c r="C10" s="6" t="n">
        <v>64938</v>
      </c>
      <c r="D10" s="6" t="n">
        <v>70665</v>
      </c>
      <c r="E10" s="6" t="n">
        <v>75306</v>
      </c>
      <c r="F10" s="6" t="n">
        <v>79801</v>
      </c>
      <c r="G10" s="6" t="n">
        <v>79162</v>
      </c>
      <c r="H10" s="6" t="n">
        <v>84043</v>
      </c>
      <c r="I10" s="6" t="n">
        <v>88089</v>
      </c>
      <c r="J10" s="6" t="n">
        <v>95327</v>
      </c>
      <c r="K10" s="6" t="n">
        <v>101294</v>
      </c>
      <c r="L10" s="6" t="n">
        <v>106843</v>
      </c>
      <c r="M10" s="6" t="n">
        <v>111143</v>
      </c>
      <c r="N10" s="6" t="n">
        <v>111416</v>
      </c>
      <c r="O10" s="6" t="n">
        <v>122161</v>
      </c>
    </row>
    <row r="11" customFormat="false" ht="15" hidden="false" customHeight="false" outlineLevel="0" collapsed="false">
      <c r="A11" s="5" t="s">
        <v>31</v>
      </c>
      <c r="B11" s="2" t="s">
        <v>32</v>
      </c>
      <c r="C11" s="6" t="n">
        <v>17560</v>
      </c>
      <c r="D11" s="6" t="n">
        <v>18168</v>
      </c>
      <c r="E11" s="6" t="n">
        <v>18656</v>
      </c>
      <c r="F11" s="6" t="n">
        <v>18926</v>
      </c>
      <c r="G11" s="6" t="n">
        <v>19274</v>
      </c>
      <c r="H11" s="6" t="n">
        <v>19246</v>
      </c>
      <c r="I11" s="6" t="n">
        <v>19422</v>
      </c>
      <c r="J11" s="6" t="n">
        <v>19609</v>
      </c>
      <c r="K11" s="6" t="n">
        <v>19804</v>
      </c>
      <c r="L11" s="6" t="n">
        <v>21471</v>
      </c>
      <c r="M11" s="6" t="n">
        <v>27289</v>
      </c>
      <c r="N11" s="6" t="n">
        <v>27871</v>
      </c>
      <c r="O11" s="6" t="n">
        <v>27479</v>
      </c>
    </row>
    <row r="12" customFormat="false" ht="15" hidden="false" customHeight="false" outlineLevel="0" collapsed="false">
      <c r="A12" s="5" t="s">
        <v>49</v>
      </c>
      <c r="B12" s="2" t="s">
        <v>50</v>
      </c>
      <c r="C12" s="6" t="n">
        <v>16134</v>
      </c>
      <c r="D12" s="6" t="n">
        <v>15922</v>
      </c>
      <c r="E12" s="6" t="n">
        <v>15724</v>
      </c>
      <c r="F12" s="6" t="n">
        <v>15533</v>
      </c>
      <c r="G12" s="6" t="n">
        <v>15238</v>
      </c>
      <c r="H12" s="6" t="n">
        <v>14996</v>
      </c>
      <c r="I12" s="6" t="n">
        <v>14811</v>
      </c>
      <c r="J12" s="6" t="n">
        <v>14641</v>
      </c>
      <c r="K12" s="6" t="n">
        <v>14409</v>
      </c>
      <c r="L12" s="6" t="n">
        <v>14183</v>
      </c>
      <c r="M12" s="6" t="n">
        <v>13638</v>
      </c>
      <c r="N12" s="6" t="n">
        <v>13406</v>
      </c>
      <c r="O12" s="6" t="n">
        <v>13233</v>
      </c>
    </row>
    <row r="13" customFormat="false" ht="15" hidden="false" customHeight="false" outlineLevel="0" collapsed="false">
      <c r="A13" s="7" t="s">
        <v>39</v>
      </c>
      <c r="C13" s="8" t="n">
        <f aca="false">SUM(C5:C12)</f>
        <v>97100616</v>
      </c>
      <c r="D13" s="8" t="n">
        <f aca="false">SUM(D5:D12)</f>
        <v>96426718</v>
      </c>
      <c r="E13" s="8" t="n">
        <f aca="false">SUM(E5:E12)</f>
        <v>95768300</v>
      </c>
      <c r="F13" s="8" t="n">
        <f aca="false">SUM(F5:F12)</f>
        <v>95103169</v>
      </c>
      <c r="G13" s="8" t="n">
        <f aca="false">SUM(G5:G12)</f>
        <v>94138355</v>
      </c>
      <c r="H13" s="8" t="n">
        <f aca="false">SUM(H5:H12)</f>
        <v>93538921</v>
      </c>
      <c r="I13" s="8" t="n">
        <f aca="false">SUM(I5:I12)</f>
        <v>93297312</v>
      </c>
      <c r="J13" s="8" t="n">
        <f aca="false">SUM(J5:J12)</f>
        <v>93293760</v>
      </c>
      <c r="K13" s="8" t="n">
        <f aca="false">SUM(K5:K12)</f>
        <v>93134112</v>
      </c>
      <c r="L13" s="8" t="n">
        <f aca="false">SUM(L5:L12)</f>
        <v>93256572</v>
      </c>
      <c r="M13" s="8" t="n">
        <f aca="false">SUM(M5:M12)</f>
        <v>92945612</v>
      </c>
      <c r="N13" s="8" t="n">
        <f aca="false">SUM(N5:N12)</f>
        <v>92727518</v>
      </c>
      <c r="O13" s="8" t="n">
        <f aca="false">SUM(O5:O12)</f>
        <v>92373105</v>
      </c>
    </row>
    <row r="15" customFormat="false" ht="15" hidden="false" customHeight="false" outlineLevel="0" collapsed="false">
      <c r="A15" s="3" t="s">
        <v>40</v>
      </c>
      <c r="B15" s="3" t="s">
        <v>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8</v>
      </c>
      <c r="H15" s="4" t="s">
        <v>9</v>
      </c>
      <c r="I15" s="4" t="s">
        <v>10</v>
      </c>
      <c r="J15" s="4" t="s">
        <v>11</v>
      </c>
      <c r="K15" s="4" t="s">
        <v>12</v>
      </c>
      <c r="L15" s="4" t="s">
        <v>13</v>
      </c>
      <c r="M15" s="4" t="s">
        <v>14</v>
      </c>
      <c r="N15" s="4" t="s">
        <v>15</v>
      </c>
      <c r="O15" s="4" t="s">
        <v>16</v>
      </c>
    </row>
    <row r="16" customFormat="false" ht="15" hidden="false" customHeight="false" outlineLevel="0" collapsed="false">
      <c r="A16" s="5" t="str">
        <f aca="false">A5</f>
        <v>Vivo</v>
      </c>
      <c r="B16" s="2" t="str">
        <f aca="false">B5</f>
        <v>TELEFONICA</v>
      </c>
      <c r="C16" s="9" t="n">
        <f aca="false">IF(C$13=0,0,C5/C$13)</f>
        <v>0.34486673081456</v>
      </c>
      <c r="D16" s="9" t="n">
        <f aca="false">IF(D$13=0,0,D5/D$13)</f>
        <v>0.344144047296103</v>
      </c>
      <c r="E16" s="9" t="n">
        <f aca="false">IF(E$13=0,0,E5/E$13)</f>
        <v>0.343459589446612</v>
      </c>
      <c r="F16" s="9" t="n">
        <f aca="false">IF(F$13=0,0,F5/F$13)</f>
        <v>0.342408442772291</v>
      </c>
      <c r="G16" s="9" t="n">
        <f aca="false">IF(G$13=0,0,G5/G$13)</f>
        <v>0.342050474538247</v>
      </c>
      <c r="H16" s="9" t="n">
        <f aca="false">IF(H$13=0,0,H5/H$13)</f>
        <v>0.341314542210723</v>
      </c>
      <c r="I16" s="9" t="n">
        <f aca="false">IF(I$13=0,0,I5/I$13)</f>
        <v>0.340948665273443</v>
      </c>
      <c r="J16" s="9" t="n">
        <f aca="false">IF(J$13=0,0,J5/J$13)</f>
        <v>0.338706072088851</v>
      </c>
      <c r="K16" s="9" t="n">
        <f aca="false">IF(K$13=0,0,K5/K$13)</f>
        <v>0.340699560221286</v>
      </c>
      <c r="L16" s="9" t="n">
        <f aca="false">IF(L$13=0,0,L5/L$13)</f>
        <v>0.341621188906665</v>
      </c>
      <c r="M16" s="9" t="n">
        <f aca="false">IF(M$13=0,0,M5/M$13)</f>
        <v>0.343357898380399</v>
      </c>
      <c r="N16" s="9" t="n">
        <f aca="false">IF(N$13=0,0,N5/N$13)</f>
        <v>0.343131701206539</v>
      </c>
      <c r="O16" s="9" t="n">
        <f aca="false">IF(O$13=0,0,O5/O$13)</f>
        <v>0.3435482330057</v>
      </c>
    </row>
    <row r="17" customFormat="false" ht="15" hidden="false" customHeight="false" outlineLevel="0" collapsed="false">
      <c r="A17" s="5" t="str">
        <f aca="false">A6</f>
        <v>Claro</v>
      </c>
      <c r="B17" s="2" t="str">
        <f aca="false">B6</f>
        <v>TELECOM AMERICAS</v>
      </c>
      <c r="C17" s="9" t="n">
        <f aca="false">IF(C$13=0,0,C6/C$13)</f>
        <v>0.327161879179016</v>
      </c>
      <c r="D17" s="9" t="n">
        <f aca="false">IF(D$13=0,0,D6/D$13)</f>
        <v>0.32654697425251</v>
      </c>
      <c r="E17" s="9" t="n">
        <f aca="false">IF(E$13=0,0,E6/E$13)</f>
        <v>0.325996149038878</v>
      </c>
      <c r="F17" s="9" t="n">
        <f aca="false">IF(F$13=0,0,F6/F$13)</f>
        <v>0.327397123853991</v>
      </c>
      <c r="G17" s="9" t="n">
        <f aca="false">IF(G$13=0,0,G6/G$13)</f>
        <v>0.330442219858208</v>
      </c>
      <c r="H17" s="9" t="n">
        <f aca="false">IF(H$13=0,0,H6/H$13)</f>
        <v>0.330249543930489</v>
      </c>
      <c r="I17" s="9" t="n">
        <f aca="false">IF(I$13=0,0,I6/I$13)</f>
        <v>0.332866192329314</v>
      </c>
      <c r="J17" s="9" t="n">
        <f aca="false">IF(J$13=0,0,J6/J$13)</f>
        <v>0.33395650470085</v>
      </c>
      <c r="K17" s="9" t="n">
        <f aca="false">IF(K$13=0,0,K6/K$13)</f>
        <v>0.334818975887159</v>
      </c>
      <c r="L17" s="9" t="n">
        <f aca="false">IF(L$13=0,0,L6/L$13)</f>
        <v>0.335181406839617</v>
      </c>
      <c r="M17" s="9" t="n">
        <f aca="false">IF(M$13=0,0,M6/M$13)</f>
        <v>0.33431301738053</v>
      </c>
      <c r="N17" s="9" t="n">
        <f aca="false">IF(N$13=0,0,N6/N$13)</f>
        <v>0.334591377718101</v>
      </c>
      <c r="O17" s="9" t="n">
        <f aca="false">IF(O$13=0,0,O6/O$13)</f>
        <v>0.335386430931384</v>
      </c>
    </row>
    <row r="18" customFormat="false" ht="15" hidden="false" customHeight="false" outlineLevel="0" collapsed="false">
      <c r="A18" s="5" t="str">
        <f aca="false">A7</f>
        <v>TIM</v>
      </c>
      <c r="B18" s="2" t="str">
        <f aca="false">B7</f>
        <v>TELECOM ITALIA</v>
      </c>
      <c r="C18" s="9" t="n">
        <f aca="false">IF(C$13=0,0,C7/C$13)</f>
        <v>0.313238857310648</v>
      </c>
      <c r="D18" s="9" t="n">
        <f aca="false">IF(D$13=0,0,D7/D$13)</f>
        <v>0.313968800638844</v>
      </c>
      <c r="E18" s="9" t="n">
        <f aca="false">IF(E$13=0,0,E7/E$13)</f>
        <v>0.314090528911968</v>
      </c>
      <c r="F18" s="9" t="n">
        <f aca="false">IF(F$13=0,0,F7/F$13)</f>
        <v>0.313483486549223</v>
      </c>
      <c r="G18" s="9" t="n">
        <f aca="false">IF(G$13=0,0,G7/G$13)</f>
        <v>0.31045442636001</v>
      </c>
      <c r="H18" s="9" t="n">
        <f aca="false">IF(H$13=0,0,H7/H$13)</f>
        <v>0.310989571923756</v>
      </c>
      <c r="I18" s="9" t="n">
        <f aca="false">IF(I$13=0,0,I7/I$13)</f>
        <v>0.308535073336304</v>
      </c>
      <c r="J18" s="9" t="n">
        <f aca="false">IF(J$13=0,0,J7/J$13)</f>
        <v>0.309461436649139</v>
      </c>
      <c r="K18" s="9" t="n">
        <f aca="false">IF(K$13=0,0,K7/K$13)</f>
        <v>0.306345595478486</v>
      </c>
      <c r="L18" s="9" t="n">
        <f aca="false">IF(L$13=0,0,L7/L$13)</f>
        <v>0.304766660305721</v>
      </c>
      <c r="M18" s="9" t="n">
        <f aca="false">IF(M$13=0,0,M7/M$13)</f>
        <v>0.303520450217704</v>
      </c>
      <c r="N18" s="9" t="n">
        <f aca="false">IF(N$13=0,0,N7/N$13)</f>
        <v>0.303280154657003</v>
      </c>
      <c r="O18" s="9" t="n">
        <f aca="false">IF(O$13=0,0,O7/O$13)</f>
        <v>0.30194816987044</v>
      </c>
    </row>
    <row r="19" customFormat="false" ht="15" hidden="false" customHeight="false" outlineLevel="0" collapsed="false">
      <c r="A19" s="5" t="str">
        <f aca="false">A8</f>
        <v>Surf Telecom</v>
      </c>
      <c r="B19" s="2" t="str">
        <f aca="false">B8</f>
        <v>SURF TELECOM</v>
      </c>
      <c r="C19" s="9" t="n">
        <f aca="false">IF(C$13=0,0,C8/C$13)</f>
        <v>0.00849219123388465</v>
      </c>
      <c r="D19" s="9" t="n">
        <f aca="false">IF(D$13=0,0,D8/D$13)</f>
        <v>0.00898985279162981</v>
      </c>
      <c r="E19" s="9" t="n">
        <f aca="false">IF(E$13=0,0,E8/E$13)</f>
        <v>0.0100149318720286</v>
      </c>
      <c r="F19" s="9" t="n">
        <f aca="false">IF(F$13=0,0,F8/F$13)</f>
        <v>0.0102117417349153</v>
      </c>
      <c r="G19" s="9" t="n">
        <f aca="false">IF(G$13=0,0,G8/G$13)</f>
        <v>0.0104596367761047</v>
      </c>
      <c r="H19" s="9" t="n">
        <f aca="false">IF(H$13=0,0,H8/H$13)</f>
        <v>0.0106933775727432</v>
      </c>
      <c r="I19" s="9" t="n">
        <f aca="false">IF(I$13=0,0,I8/I$13)</f>
        <v>0.0108358320119662</v>
      </c>
      <c r="J19" s="9" t="n">
        <f aca="false">IF(J$13=0,0,J8/J$13)</f>
        <v>0.0110203083250155</v>
      </c>
      <c r="K19" s="9" t="n">
        <f aca="false">IF(K$13=0,0,K8/K$13)</f>
        <v>0.0112672465272445</v>
      </c>
      <c r="L19" s="9" t="n">
        <f aca="false">IF(L$13=0,0,L8/L$13)</f>
        <v>0.0115566546881007</v>
      </c>
      <c r="M19" s="9" t="n">
        <f aca="false">IF(M$13=0,0,M8/M$13)</f>
        <v>0.0118421943361888</v>
      </c>
      <c r="N19" s="9" t="n">
        <f aca="false">IF(N$13=0,0,N8/N$13)</f>
        <v>0.0120639592661156</v>
      </c>
      <c r="O19" s="9" t="n">
        <f aca="false">IF(O$13=0,0,O8/O$13)</f>
        <v>0.0121366603406912</v>
      </c>
    </row>
    <row r="20" customFormat="false" ht="15" hidden="false" customHeight="false" outlineLevel="0" collapsed="false">
      <c r="A20" s="5" t="str">
        <f aca="false">A9</f>
        <v>Algar</v>
      </c>
      <c r="B20" s="2" t="str">
        <f aca="false">B9</f>
        <v>ALGAR (CTBC TELECOM)</v>
      </c>
      <c r="C20" s="9" t="n">
        <f aca="false">IF(C$13=0,0,C9/C$13)</f>
        <v>0.00522457035699959</v>
      </c>
      <c r="D20" s="9" t="n">
        <f aca="false">IF(D$13=0,0,D9/D$13)</f>
        <v>0.00526395599194821</v>
      </c>
      <c r="E20" s="9" t="n">
        <f aca="false">IF(E$13=0,0,E9/E$13)</f>
        <v>0.005293473936574</v>
      </c>
      <c r="F20" s="9" t="n">
        <f aca="false">IF(F$13=0,0,F9/F$13)</f>
        <v>0.00529777299008827</v>
      </c>
      <c r="G20" s="9" t="n">
        <f aca="false">IF(G$13=0,0,G9/G$13)</f>
        <v>0.00538572189836969</v>
      </c>
      <c r="H20" s="9" t="n">
        <f aca="false">IF(H$13=0,0,H9/H$13)</f>
        <v>0.00548841054089132</v>
      </c>
      <c r="I20" s="9" t="n">
        <f aca="false">IF(I$13=0,0,I9/I$13)</f>
        <v>0.00550313818258773</v>
      </c>
      <c r="J20" s="9" t="n">
        <f aca="false">IF(J$13=0,0,J9/J$13)</f>
        <v>0.00546676433665017</v>
      </c>
      <c r="K20" s="9" t="n">
        <f aca="false">IF(K$13=0,0,K9/K$13)</f>
        <v>0.00541365552505617</v>
      </c>
      <c r="L20" s="9" t="n">
        <f aca="false">IF(L$13=0,0,L9/L$13)</f>
        <v>0.005346078987334</v>
      </c>
      <c r="M20" s="9" t="n">
        <f aca="false">IF(M$13=0,0,M9/M$13)</f>
        <v>0.00533032156483084</v>
      </c>
      <c r="N20" s="9" t="n">
        <f aca="false">IF(N$13=0,0,N9/N$13)</f>
        <v>0.00528612229219809</v>
      </c>
      <c r="O20" s="9" t="n">
        <f aca="false">IF(O$13=0,0,O9/O$13)</f>
        <v>0.00521729782711104</v>
      </c>
    </row>
    <row r="21" customFormat="false" ht="15" hidden="false" customHeight="false" outlineLevel="0" collapsed="false">
      <c r="A21" s="5" t="str">
        <f aca="false">A10</f>
        <v>Outros</v>
      </c>
      <c r="B21" s="2" t="str">
        <f aca="false">B10</f>
        <v>OUTROS</v>
      </c>
      <c r="C21" s="9" t="n">
        <f aca="false">IF(C$13=0,0,C10/C$13)</f>
        <v>0.000668770216658564</v>
      </c>
      <c r="D21" s="9" t="n">
        <f aca="false">IF(D$13=0,0,D10/D$13)</f>
        <v>0.000732836307878901</v>
      </c>
      <c r="E21" s="9" t="n">
        <f aca="false">IF(E$13=0,0,E10/E$13)</f>
        <v>0.000786335353138774</v>
      </c>
      <c r="F21" s="9" t="n">
        <f aca="false">IF(F$13=0,0,F10/F$13)</f>
        <v>0.000839099273337569</v>
      </c>
      <c r="G21" s="9" t="n">
        <f aca="false">IF(G$13=0,0,G10/G$13)</f>
        <v>0.000840911231134217</v>
      </c>
      <c r="H21" s="9" t="n">
        <f aca="false">IF(H$13=0,0,H10/H$13)</f>
        <v>0.000898481606389281</v>
      </c>
      <c r="I21" s="9" t="n">
        <f aca="false">IF(I$13=0,0,I10/I$13)</f>
        <v>0.000944175111926054</v>
      </c>
      <c r="J21" s="9" t="n">
        <f aca="false">IF(J$13=0,0,J10/J$13)</f>
        <v>0.0010217939549226</v>
      </c>
      <c r="K21" s="9" t="n">
        <f aca="false">IF(K$13=0,0,K10/K$13)</f>
        <v>0.00108761438558624</v>
      </c>
      <c r="L21" s="9" t="n">
        <f aca="false">IF(L$13=0,0,L10/L$13)</f>
        <v>0.00114568869205272</v>
      </c>
      <c r="M21" s="9" t="n">
        <f aca="false">IF(M$13=0,0,M10/M$13)</f>
        <v>0.00119578533734331</v>
      </c>
      <c r="N21" s="9" t="n">
        <f aca="false">IF(N$13=0,0,N10/N$13)</f>
        <v>0.00120154191984304</v>
      </c>
      <c r="O21" s="9" t="n">
        <f aca="false">IF(O$13=0,0,O10/O$13)</f>
        <v>0.00132247367889171</v>
      </c>
    </row>
    <row r="22" customFormat="false" ht="15" hidden="false" customHeight="false" outlineLevel="0" collapsed="false">
      <c r="A22" s="5" t="str">
        <f aca="false">A11</f>
        <v>Unifique</v>
      </c>
      <c r="B22" s="2" t="str">
        <f aca="false">B11</f>
        <v>UNIFIQUE</v>
      </c>
      <c r="C22" s="9" t="n">
        <f aca="false">IF(C$13=0,0,C11/C$13)</f>
        <v>0.000180843342950574</v>
      </c>
      <c r="D22" s="9" t="n">
        <f aca="false">IF(D$13=0,0,D11/D$13)</f>
        <v>0.000188412510316902</v>
      </c>
      <c r="E22" s="9" t="n">
        <f aca="false">IF(E$13=0,0,E11/E$13)</f>
        <v>0.000194803499696664</v>
      </c>
      <c r="F22" s="9" t="n">
        <f aca="false">IF(F$13=0,0,F11/F$13)</f>
        <v>0.00019900493536656</v>
      </c>
      <c r="G22" s="9" t="n">
        <f aca="false">IF(G$13=0,0,G11/G$13)</f>
        <v>0.000204741202456746</v>
      </c>
      <c r="H22" s="9" t="n">
        <f aca="false">IF(H$13=0,0,H11/H$13)</f>
        <v>0.0002057539235459</v>
      </c>
      <c r="I22" s="9" t="n">
        <f aca="false">IF(I$13=0,0,I11/I$13)</f>
        <v>0.000208173200102485</v>
      </c>
      <c r="J22" s="9" t="n">
        <f aca="false">IF(J$13=0,0,J11/J$13)</f>
        <v>0.00021018554724346</v>
      </c>
      <c r="K22" s="9" t="n">
        <f aca="false">IF(K$13=0,0,K11/K$13)</f>
        <v>0.000212639596542242</v>
      </c>
      <c r="L22" s="9" t="n">
        <f aca="false">IF(L$13=0,0,L11/L$13)</f>
        <v>0.000230235784347724</v>
      </c>
      <c r="M22" s="9" t="n">
        <f aca="false">IF(M$13=0,0,M11/M$13)</f>
        <v>0.00029360181091712</v>
      </c>
      <c r="N22" s="9" t="n">
        <f aca="false">IF(N$13=0,0,N11/N$13)</f>
        <v>0.00030056881280916</v>
      </c>
      <c r="O22" s="9" t="n">
        <f aca="false">IF(O$13=0,0,O11/O$13)</f>
        <v>0.000297478362343671</v>
      </c>
    </row>
    <row r="23" customFormat="false" ht="15" hidden="false" customHeight="false" outlineLevel="0" collapsed="false">
      <c r="A23" s="5" t="str">
        <f aca="false">A12</f>
        <v>Ligga Telecom</v>
      </c>
      <c r="B23" s="2" t="str">
        <f aca="false">B12</f>
        <v>LIGGA TELECOM</v>
      </c>
      <c r="C23" s="9" t="n">
        <f aca="false">IF(C$13=0,0,C12/C$13)</f>
        <v>0.00016615754528272</v>
      </c>
      <c r="D23" s="9" t="n">
        <f aca="false">IF(D$13=0,0,D12/D$13)</f>
        <v>0.000165120210769799</v>
      </c>
      <c r="E23" s="9" t="n">
        <f aca="false">IF(E$13=0,0,E12/E$13)</f>
        <v>0.000164187941103685</v>
      </c>
      <c r="F23" s="9" t="n">
        <f aca="false">IF(F$13=0,0,F12/F$13)</f>
        <v>0.00016332789078774</v>
      </c>
      <c r="G23" s="9" t="n">
        <f aca="false">IF(G$13=0,0,G12/G$13)</f>
        <v>0.000161868135469331</v>
      </c>
      <c r="H23" s="9" t="n">
        <f aca="false">IF(H$13=0,0,H12/H$13)</f>
        <v>0.000160318291462866</v>
      </c>
      <c r="I23" s="9" t="n">
        <f aca="false">IF(I$13=0,0,I12/I$13)</f>
        <v>0.000158750554356807</v>
      </c>
      <c r="J23" s="9" t="n">
        <f aca="false">IF(J$13=0,0,J12/J$13)</f>
        <v>0.000156934397327324</v>
      </c>
      <c r="K23" s="9" t="n">
        <f aca="false">IF(K$13=0,0,K12/K$13)</f>
        <v>0.000154712378639526</v>
      </c>
      <c r="L23" s="9" t="n">
        <f aca="false">IF(L$13=0,0,L12/L$13)</f>
        <v>0.000152085796162441</v>
      </c>
      <c r="M23" s="9" t="n">
        <f aca="false">IF(M$13=0,0,M12/M$13)</f>
        <v>0.000146730972087203</v>
      </c>
      <c r="N23" s="9" t="n">
        <f aca="false">IF(N$13=0,0,N12/N$13)</f>
        <v>0.000144574127391181</v>
      </c>
      <c r="O23" s="9" t="n">
        <f aca="false">IF(O$13=0,0,O12/O$13)</f>
        <v>0.000143255983438036</v>
      </c>
    </row>
    <row r="24" customFormat="false" ht="15" hidden="false" customHeight="false" outlineLevel="0" collapsed="false">
      <c r="A24" s="7" t="str">
        <f aca="false">A13</f>
        <v>Total</v>
      </c>
      <c r="C24" s="10" t="n">
        <f aca="false">IF(C$13=0,0,C13/C$13)</f>
        <v>1</v>
      </c>
      <c r="D24" s="10" t="n">
        <f aca="false">IF(D$13=0,0,D13/D$13)</f>
        <v>1</v>
      </c>
      <c r="E24" s="10" t="n">
        <f aca="false">IF(E$13=0,0,E13/E$13)</f>
        <v>1</v>
      </c>
      <c r="F24" s="10" t="n">
        <f aca="false">IF(F$13=0,0,F13/F$13)</f>
        <v>1</v>
      </c>
      <c r="G24" s="10" t="n">
        <f aca="false">IF(G$13=0,0,G13/G$13)</f>
        <v>1</v>
      </c>
      <c r="H24" s="10" t="n">
        <f aca="false">IF(H$13=0,0,H13/H$13)</f>
        <v>1</v>
      </c>
      <c r="I24" s="10" t="n">
        <f aca="false">IF(I$13=0,0,I13/I$13)</f>
        <v>1</v>
      </c>
      <c r="J24" s="10" t="n">
        <f aca="false">IF(J$13=0,0,J13/J$13)</f>
        <v>1</v>
      </c>
      <c r="K24" s="10" t="n">
        <f aca="false">IF(K$13=0,0,K13/K$13)</f>
        <v>1</v>
      </c>
      <c r="L24" s="10" t="n">
        <f aca="false">IF(L$13=0,0,L13/L$13)</f>
        <v>1</v>
      </c>
      <c r="M24" s="10" t="n">
        <f aca="false">IF(M$13=0,0,M13/M$13)</f>
        <v>1</v>
      </c>
      <c r="N24" s="10" t="n">
        <f aca="false">IF(N$13=0,0,N13/N$13)</f>
        <v>1</v>
      </c>
      <c r="O24" s="10" t="n">
        <f aca="false">IF(O$13=0,0,O13/O$13)</f>
        <v>1</v>
      </c>
    </row>
    <row r="26" customFormat="false" ht="15" hidden="false" customHeight="false" outlineLevel="0" collapsed="false">
      <c r="A26" s="3" t="s">
        <v>41</v>
      </c>
      <c r="B26" s="3" t="s">
        <v>3</v>
      </c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  <c r="H26" s="4" t="s">
        <v>9</v>
      </c>
      <c r="I26" s="4" t="s">
        <v>10</v>
      </c>
      <c r="J26" s="4" t="s">
        <v>11</v>
      </c>
      <c r="K26" s="4" t="s">
        <v>12</v>
      </c>
      <c r="L26" s="4" t="s">
        <v>13</v>
      </c>
      <c r="M26" s="4" t="s">
        <v>14</v>
      </c>
      <c r="N26" s="4" t="s">
        <v>15</v>
      </c>
      <c r="O26" s="4" t="s">
        <v>16</v>
      </c>
    </row>
    <row r="27" customFormat="false" ht="15" hidden="false" customHeight="false" outlineLevel="0" collapsed="false">
      <c r="A27" s="5" t="str">
        <f aca="false">A5</f>
        <v>Vivo</v>
      </c>
      <c r="B27" s="2" t="str">
        <f aca="false">B5</f>
        <v>TELEFONICA</v>
      </c>
      <c r="D27" s="11" t="n">
        <f aca="false">D5-C5</f>
        <v>-302091</v>
      </c>
      <c r="E27" s="11" t="n">
        <f aca="false">E5-D5</f>
        <v>-292140</v>
      </c>
      <c r="F27" s="11" t="n">
        <f aca="false">F5-E5</f>
        <v>-328413</v>
      </c>
      <c r="G27" s="11" t="n">
        <f aca="false">G5-F5</f>
        <v>-364059</v>
      </c>
      <c r="H27" s="11" t="n">
        <f aca="false">H5-G5</f>
        <v>-273875</v>
      </c>
      <c r="I27" s="11" t="n">
        <f aca="false">I5-H5</f>
        <v>-116600</v>
      </c>
      <c r="J27" s="11" t="n">
        <f aca="false">J5-I5</f>
        <v>-210431</v>
      </c>
      <c r="K27" s="11" t="n">
        <f aca="false">K5-J5</f>
        <v>131588</v>
      </c>
      <c r="L27" s="11" t="n">
        <f aca="false">L5-K5</f>
        <v>127670</v>
      </c>
      <c r="M27" s="11" t="n">
        <f aca="false">M5-L5</f>
        <v>55189</v>
      </c>
      <c r="N27" s="11" t="n">
        <f aca="false">N5-M5</f>
        <v>-95859</v>
      </c>
      <c r="O27" s="11" t="n">
        <f aca="false">O5-N5</f>
        <v>-83134</v>
      </c>
    </row>
    <row r="28" customFormat="false" ht="15" hidden="false" customHeight="false" outlineLevel="0" collapsed="false">
      <c r="A28" s="5" t="str">
        <f aca="false">A6</f>
        <v>Claro</v>
      </c>
      <c r="B28" s="2" t="str">
        <f aca="false">B6</f>
        <v>TELECOM AMERICAS</v>
      </c>
      <c r="D28" s="11" t="n">
        <f aca="false">D6-C6</f>
        <v>-279767</v>
      </c>
      <c r="E28" s="11" t="n">
        <f aca="false">E6-D6</f>
        <v>-267756</v>
      </c>
      <c r="F28" s="11" t="n">
        <f aca="false">F6-E6</f>
        <v>-83593</v>
      </c>
      <c r="G28" s="11" t="n">
        <f aca="false">G6-F6</f>
        <v>-29217</v>
      </c>
      <c r="H28" s="11" t="n">
        <f aca="false">H6-G6</f>
        <v>-216101</v>
      </c>
      <c r="I28" s="11" t="n">
        <f aca="false">I6-H6</f>
        <v>164335</v>
      </c>
      <c r="J28" s="11" t="n">
        <f aca="false">J6-I6</f>
        <v>100537</v>
      </c>
      <c r="K28" s="11" t="n">
        <f aca="false">K6-J6</f>
        <v>27010</v>
      </c>
      <c r="L28" s="11" t="n">
        <f aca="false">L6-K6</f>
        <v>74801</v>
      </c>
      <c r="M28" s="11" t="n">
        <f aca="false">M6-L6</f>
        <v>-184941</v>
      </c>
      <c r="N28" s="11" t="n">
        <f aca="false">N6-M6</f>
        <v>-47100</v>
      </c>
      <c r="O28" s="11" t="n">
        <f aca="false">O6-N6</f>
        <v>-45142</v>
      </c>
    </row>
    <row r="29" customFormat="false" ht="15" hidden="false" customHeight="false" outlineLevel="0" collapsed="false">
      <c r="A29" s="5" t="str">
        <f aca="false">A7</f>
        <v>TIM</v>
      </c>
      <c r="B29" s="2" t="str">
        <f aca="false">B7</f>
        <v>TELECOM ITALIA</v>
      </c>
      <c r="D29" s="11" t="n">
        <f aca="false">D7-C7</f>
        <v>-140705</v>
      </c>
      <c r="E29" s="11" t="n">
        <f aca="false">E7-D7</f>
        <v>-195065</v>
      </c>
      <c r="F29" s="11" t="n">
        <f aca="false">F7-E7</f>
        <v>-266643</v>
      </c>
      <c r="G29" s="11" t="n">
        <f aca="false">G7-F7</f>
        <v>-587604</v>
      </c>
      <c r="H29" s="11" t="n">
        <f aca="false">H7-G7</f>
        <v>-136040</v>
      </c>
      <c r="I29" s="11" t="n">
        <f aca="false">I7-H7</f>
        <v>-304136</v>
      </c>
      <c r="J29" s="11" t="n">
        <f aca="false">J7-I7</f>
        <v>85328</v>
      </c>
      <c r="K29" s="11" t="n">
        <f aca="false">K7-J7</f>
        <v>-339596</v>
      </c>
      <c r="L29" s="11" t="n">
        <f aca="false">L7-K7</f>
        <v>-109731</v>
      </c>
      <c r="M29" s="11" t="n">
        <f aca="false">M7-L7</f>
        <v>-210600</v>
      </c>
      <c r="N29" s="11" t="n">
        <f aca="false">N7-M7</f>
        <v>-88478</v>
      </c>
      <c r="O29" s="11" t="n">
        <f aca="false">O7-N7</f>
        <v>-230526</v>
      </c>
    </row>
    <row r="30" customFormat="false" ht="15" hidden="false" customHeight="false" outlineLevel="0" collapsed="false">
      <c r="A30" s="5" t="str">
        <f aca="false">A8</f>
        <v>Surf Telecom</v>
      </c>
      <c r="B30" s="2" t="str">
        <f aca="false">B8</f>
        <v>SURF TELECOM</v>
      </c>
      <c r="D30" s="11" t="n">
        <f aca="false">D8-C8</f>
        <v>42265</v>
      </c>
      <c r="E30" s="11" t="n">
        <f aca="false">E8-D8</f>
        <v>92251</v>
      </c>
      <c r="F30" s="11" t="n">
        <f aca="false">F8-E8</f>
        <v>12056</v>
      </c>
      <c r="G30" s="11" t="n">
        <f aca="false">G8-F8</f>
        <v>13484</v>
      </c>
      <c r="H30" s="11" t="n">
        <f aca="false">H8-G8</f>
        <v>15594</v>
      </c>
      <c r="I30" s="11" t="n">
        <f aca="false">I8-H8</f>
        <v>10707</v>
      </c>
      <c r="J30" s="11" t="n">
        <f aca="false">J8-I8</f>
        <v>17172</v>
      </c>
      <c r="K30" s="11" t="n">
        <f aca="false">K8-J8</f>
        <v>21239</v>
      </c>
      <c r="L30" s="11" t="n">
        <f aca="false">L8-K8</f>
        <v>28369</v>
      </c>
      <c r="M30" s="11" t="n">
        <f aca="false">M8-L8</f>
        <v>22946</v>
      </c>
      <c r="N30" s="11" t="n">
        <f aca="false">N8-M8</f>
        <v>17981</v>
      </c>
      <c r="O30" s="11" t="n">
        <f aca="false">O8-N8</f>
        <v>2440</v>
      </c>
    </row>
    <row r="31" customFormat="false" ht="15" hidden="false" customHeight="false" outlineLevel="0" collapsed="false">
      <c r="A31" s="5" t="str">
        <f aca="false">A9</f>
        <v>Algar</v>
      </c>
      <c r="B31" s="2" t="str">
        <f aca="false">B9</f>
        <v>ALGAR (CTBC TELECOM)</v>
      </c>
      <c r="D31" s="11" t="n">
        <f aca="false">D9-C9</f>
        <v>277</v>
      </c>
      <c r="E31" s="11" t="n">
        <f aca="false">E9-D9</f>
        <v>-639</v>
      </c>
      <c r="F31" s="11" t="n">
        <f aca="false">F9-E9</f>
        <v>-3112</v>
      </c>
      <c r="G31" s="11" t="n">
        <f aca="false">G9-F9</f>
        <v>3168</v>
      </c>
      <c r="H31" s="11" t="n">
        <f aca="false">H9-G9</f>
        <v>6377</v>
      </c>
      <c r="I31" s="11" t="n">
        <f aca="false">I9-H9</f>
        <v>48</v>
      </c>
      <c r="J31" s="11" t="n">
        <f aca="false">J9-I9</f>
        <v>-3413</v>
      </c>
      <c r="K31" s="11" t="n">
        <f aca="false">K9-J9</f>
        <v>-5819</v>
      </c>
      <c r="L31" s="11" t="n">
        <f aca="false">L9-K9</f>
        <v>-5639</v>
      </c>
      <c r="M31" s="11" t="n">
        <f aca="false">M9-L9</f>
        <v>-3127</v>
      </c>
      <c r="N31" s="11" t="n">
        <f aca="false">N9-M9</f>
        <v>-5261</v>
      </c>
      <c r="O31" s="11" t="n">
        <f aca="false">O9-N9</f>
        <v>-8231</v>
      </c>
    </row>
    <row r="32" customFormat="false" ht="15" hidden="false" customHeight="false" outlineLevel="0" collapsed="false">
      <c r="A32" s="5" t="str">
        <f aca="false">A10</f>
        <v>Outros</v>
      </c>
      <c r="B32" s="2" t="str">
        <f aca="false">B10</f>
        <v>OUTROS</v>
      </c>
      <c r="D32" s="11" t="n">
        <f aca="false">D10-C10</f>
        <v>5727</v>
      </c>
      <c r="E32" s="11" t="n">
        <f aca="false">E10-D10</f>
        <v>4641</v>
      </c>
      <c r="F32" s="11" t="n">
        <f aca="false">F10-E10</f>
        <v>4495</v>
      </c>
      <c r="G32" s="11" t="n">
        <f aca="false">G10-F10</f>
        <v>-639</v>
      </c>
      <c r="H32" s="11" t="n">
        <f aca="false">H10-G10</f>
        <v>4881</v>
      </c>
      <c r="I32" s="11" t="n">
        <f aca="false">I10-H10</f>
        <v>4046</v>
      </c>
      <c r="J32" s="11" t="n">
        <f aca="false">J10-I10</f>
        <v>7238</v>
      </c>
      <c r="K32" s="11" t="n">
        <f aca="false">K10-J10</f>
        <v>5967</v>
      </c>
      <c r="L32" s="11" t="n">
        <f aca="false">L10-K10</f>
        <v>5549</v>
      </c>
      <c r="M32" s="11" t="n">
        <f aca="false">M10-L10</f>
        <v>4300</v>
      </c>
      <c r="N32" s="11" t="n">
        <f aca="false">N10-M10</f>
        <v>273</v>
      </c>
      <c r="O32" s="11" t="n">
        <f aca="false">O10-N10</f>
        <v>10745</v>
      </c>
    </row>
    <row r="33" customFormat="false" ht="15" hidden="false" customHeight="false" outlineLevel="0" collapsed="false">
      <c r="A33" s="5" t="str">
        <f aca="false">A11</f>
        <v>Unifique</v>
      </c>
      <c r="B33" s="2" t="str">
        <f aca="false">B11</f>
        <v>UNIFIQUE</v>
      </c>
      <c r="D33" s="11" t="n">
        <f aca="false">D11-C11</f>
        <v>608</v>
      </c>
      <c r="E33" s="11" t="n">
        <f aca="false">E11-D11</f>
        <v>488</v>
      </c>
      <c r="F33" s="11" t="n">
        <f aca="false">F11-E11</f>
        <v>270</v>
      </c>
      <c r="G33" s="11" t="n">
        <f aca="false">G11-F11</f>
        <v>348</v>
      </c>
      <c r="H33" s="11" t="n">
        <f aca="false">H11-G11</f>
        <v>-28</v>
      </c>
      <c r="I33" s="11" t="n">
        <f aca="false">I11-H11</f>
        <v>176</v>
      </c>
      <c r="J33" s="11" t="n">
        <f aca="false">J11-I11</f>
        <v>187</v>
      </c>
      <c r="K33" s="11" t="n">
        <f aca="false">K11-J11</f>
        <v>195</v>
      </c>
      <c r="L33" s="11" t="n">
        <f aca="false">L11-K11</f>
        <v>1667</v>
      </c>
      <c r="M33" s="11" t="n">
        <f aca="false">M11-L11</f>
        <v>5818</v>
      </c>
      <c r="N33" s="11" t="n">
        <f aca="false">N11-M11</f>
        <v>582</v>
      </c>
      <c r="O33" s="11" t="n">
        <f aca="false">O11-N11</f>
        <v>-392</v>
      </c>
    </row>
    <row r="34" customFormat="false" ht="15" hidden="false" customHeight="false" outlineLevel="0" collapsed="false">
      <c r="A34" s="5" t="str">
        <f aca="false">A12</f>
        <v>Ligga Telecom</v>
      </c>
      <c r="B34" s="2" t="str">
        <f aca="false">B12</f>
        <v>LIGGA TELECOM</v>
      </c>
      <c r="D34" s="11" t="n">
        <f aca="false">D12-C12</f>
        <v>-212</v>
      </c>
      <c r="E34" s="11" t="n">
        <f aca="false">E12-D12</f>
        <v>-198</v>
      </c>
      <c r="F34" s="11" t="n">
        <f aca="false">F12-E12</f>
        <v>-191</v>
      </c>
      <c r="G34" s="11" t="n">
        <f aca="false">G12-F12</f>
        <v>-295</v>
      </c>
      <c r="H34" s="11" t="n">
        <f aca="false">H12-G12</f>
        <v>-242</v>
      </c>
      <c r="I34" s="11" t="n">
        <f aca="false">I12-H12</f>
        <v>-185</v>
      </c>
      <c r="J34" s="11" t="n">
        <f aca="false">J12-I12</f>
        <v>-170</v>
      </c>
      <c r="K34" s="11" t="n">
        <f aca="false">K12-J12</f>
        <v>-232</v>
      </c>
      <c r="L34" s="11" t="n">
        <f aca="false">L12-K12</f>
        <v>-226</v>
      </c>
      <c r="M34" s="11" t="n">
        <f aca="false">M12-L12</f>
        <v>-545</v>
      </c>
      <c r="N34" s="11" t="n">
        <f aca="false">N12-M12</f>
        <v>-232</v>
      </c>
      <c r="O34" s="11" t="n">
        <f aca="false">O12-N12</f>
        <v>-173</v>
      </c>
    </row>
    <row r="35" customFormat="false" ht="15" hidden="false" customHeight="false" outlineLevel="0" collapsed="false">
      <c r="A35" s="7" t="str">
        <f aca="false">A13</f>
        <v>Total</v>
      </c>
      <c r="D35" s="12" t="n">
        <f aca="false">D13-C13</f>
        <v>-673898</v>
      </c>
      <c r="E35" s="12" t="n">
        <f aca="false">E13-D13</f>
        <v>-658418</v>
      </c>
      <c r="F35" s="12" t="n">
        <f aca="false">F13-E13</f>
        <v>-665131</v>
      </c>
      <c r="G35" s="12" t="n">
        <f aca="false">G13-F13</f>
        <v>-964814</v>
      </c>
      <c r="H35" s="12" t="n">
        <f aca="false">H13-G13</f>
        <v>-599434</v>
      </c>
      <c r="I35" s="12" t="n">
        <f aca="false">I13-H13</f>
        <v>-241609</v>
      </c>
      <c r="J35" s="12" t="n">
        <f aca="false">J13-I13</f>
        <v>-3552</v>
      </c>
      <c r="K35" s="12" t="n">
        <f aca="false">K13-J13</f>
        <v>-159648</v>
      </c>
      <c r="L35" s="12" t="n">
        <f aca="false">L13-K13</f>
        <v>122460</v>
      </c>
      <c r="M35" s="12" t="n">
        <f aca="false">M13-L13</f>
        <v>-310960</v>
      </c>
      <c r="N35" s="12" t="n">
        <f aca="false">N13-M13</f>
        <v>-218094</v>
      </c>
      <c r="O35" s="12" t="n">
        <f aca="false">O13-N13</f>
        <v>-354413</v>
      </c>
    </row>
    <row r="37" customFormat="false" ht="15" hidden="false" customHeight="false" outlineLevel="0" collapsed="false">
      <c r="A37" s="3" t="s">
        <v>42</v>
      </c>
      <c r="B37" s="3"/>
      <c r="C37" s="3" t="s">
        <v>43</v>
      </c>
      <c r="D37" s="3" t="s">
        <v>44</v>
      </c>
    </row>
    <row r="38" customFormat="false" ht="15" hidden="false" customHeight="false" outlineLevel="0" collapsed="false">
      <c r="A38" s="5" t="str">
        <f aca="false">A5</f>
        <v>Vivo</v>
      </c>
      <c r="C38" s="13" t="n">
        <f aca="false">IF(C5=0,0,O5/C5-1)</f>
        <v>-0.0523237951988923</v>
      </c>
      <c r="D38" s="14" t="n">
        <f aca="false">(O16-C16)*100</f>
        <v>-0.131849780886034</v>
      </c>
    </row>
    <row r="39" customFormat="false" ht="15" hidden="false" customHeight="false" outlineLevel="0" collapsed="false">
      <c r="A39" s="5" t="str">
        <f aca="false">A6</f>
        <v>Claro</v>
      </c>
      <c r="C39" s="13" t="n">
        <f aca="false">IF(C6=0,0,O6/C6-1)</f>
        <v>-0.0247715755854546</v>
      </c>
      <c r="D39" s="14" t="n">
        <f aca="false">(O17-C17)*100</f>
        <v>0.822455175236847</v>
      </c>
    </row>
    <row r="40" customFormat="false" ht="15" hidden="false" customHeight="false" outlineLevel="0" collapsed="false">
      <c r="A40" s="5" t="str">
        <f aca="false">A7</f>
        <v>TIM</v>
      </c>
      <c r="C40" s="13" t="n">
        <f aca="false">IF(C7=0,0,O7/C7-1)</f>
        <v>-0.0829767903311469</v>
      </c>
      <c r="D40" s="14" t="n">
        <f aca="false">(O18-C18)*100</f>
        <v>-1.12906874402077</v>
      </c>
    </row>
    <row r="41" customFormat="false" ht="15" hidden="false" customHeight="false" outlineLevel="0" collapsed="false">
      <c r="A41" s="5" t="str">
        <f aca="false">A8</f>
        <v>Surf Telecom</v>
      </c>
      <c r="C41" s="13" t="n">
        <f aca="false">IF(C8=0,0,O8/C8-1)</f>
        <v>0.359574434541964</v>
      </c>
      <c r="D41" s="14" t="n">
        <f aca="false">(O19-C19)*100</f>
        <v>0.36444691068065</v>
      </c>
    </row>
    <row r="42" customFormat="false" ht="15" hidden="false" customHeight="false" outlineLevel="0" collapsed="false">
      <c r="A42" s="5" t="str">
        <f aca="false">A9</f>
        <v>Algar</v>
      </c>
      <c r="C42" s="13" t="n">
        <f aca="false">IF(C9=0,0,O9/C9-1)</f>
        <v>-0.0500109400779407</v>
      </c>
      <c r="D42" s="14" t="n">
        <f aca="false">(O20-C20)*100</f>
        <v>-0.000727252988854885</v>
      </c>
    </row>
    <row r="43" customFormat="false" ht="15" hidden="false" customHeight="false" outlineLevel="0" collapsed="false">
      <c r="A43" s="5" t="str">
        <f aca="false">A10</f>
        <v>Outros</v>
      </c>
      <c r="C43" s="13" t="n">
        <f aca="false">IF(C10=0,0,O10/C10-1)</f>
        <v>0.881194370014475</v>
      </c>
      <c r="D43" s="14" t="n">
        <f aca="false">(O21-C21)*100</f>
        <v>0.0653703462233144</v>
      </c>
    </row>
    <row r="44" customFormat="false" ht="15" hidden="false" customHeight="false" outlineLevel="0" collapsed="false">
      <c r="A44" s="5" t="str">
        <f aca="false">A11</f>
        <v>Unifique</v>
      </c>
      <c r="C44" s="13" t="n">
        <f aca="false">IF(C11=0,0,O11/C11-1)</f>
        <v>0.564863325740319</v>
      </c>
      <c r="D44" s="14" t="n">
        <f aca="false">(O22-C22)*100</f>
        <v>0.0116635019393097</v>
      </c>
    </row>
    <row r="45" customFormat="false" ht="15" hidden="false" customHeight="false" outlineLevel="0" collapsed="false">
      <c r="A45" s="5" t="str">
        <f aca="false">A12</f>
        <v>Ligga Telecom</v>
      </c>
      <c r="C45" s="13" t="n">
        <f aca="false">IF(C12=0,0,O12/C12-1)</f>
        <v>-0.179806619561175</v>
      </c>
      <c r="D45" s="14" t="n">
        <f aca="false">(O23-C23)*100</f>
        <v>-0.00229015618446835</v>
      </c>
    </row>
    <row r="46" customFormat="false" ht="15" hidden="false" customHeight="false" outlineLevel="0" collapsed="false">
      <c r="A46" s="7" t="str">
        <f aca="false">A13</f>
        <v>Total</v>
      </c>
      <c r="C46" s="13" t="n">
        <f aca="false">IF(C13=0,0,O13/C13-1)</f>
        <v>-0.0486867251182012</v>
      </c>
      <c r="D46" s="14" t="n">
        <f aca="false">(O24-C24)*100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  <c r="B5" s="2" t="s">
        <v>18</v>
      </c>
      <c r="C5" s="6" t="n">
        <v>20967094</v>
      </c>
      <c r="D5" s="6" t="n">
        <v>21504730</v>
      </c>
      <c r="E5" s="6" t="n">
        <v>22093553</v>
      </c>
      <c r="F5" s="6" t="n">
        <v>22589546</v>
      </c>
      <c r="G5" s="6" t="n">
        <v>23179311</v>
      </c>
      <c r="H5" s="6" t="n">
        <v>24115993</v>
      </c>
      <c r="I5" s="6" t="n">
        <v>24562176</v>
      </c>
      <c r="J5" s="6" t="n">
        <v>25202849</v>
      </c>
      <c r="K5" s="6" t="n">
        <v>25778009</v>
      </c>
      <c r="L5" s="6" t="n">
        <v>26358179</v>
      </c>
      <c r="M5" s="6" t="n">
        <v>26731692</v>
      </c>
      <c r="N5" s="6" t="n">
        <v>27191456</v>
      </c>
      <c r="O5" s="6" t="n">
        <v>27323411</v>
      </c>
    </row>
    <row r="6" customFormat="false" ht="15" hidden="false" customHeight="false" outlineLevel="0" collapsed="false">
      <c r="A6" s="5" t="s">
        <v>19</v>
      </c>
      <c r="B6" s="2" t="s">
        <v>20</v>
      </c>
      <c r="C6" s="6" t="n">
        <v>18370991</v>
      </c>
      <c r="D6" s="6" t="n">
        <v>18840417</v>
      </c>
      <c r="E6" s="6" t="n">
        <v>19419884</v>
      </c>
      <c r="F6" s="6" t="n">
        <v>20046550</v>
      </c>
      <c r="G6" s="6" t="n">
        <v>20685274</v>
      </c>
      <c r="H6" s="6" t="n">
        <v>21329456</v>
      </c>
      <c r="I6" s="6" t="n">
        <v>21906260</v>
      </c>
      <c r="J6" s="6" t="n">
        <v>22579343</v>
      </c>
      <c r="K6" s="6" t="n">
        <v>22976010</v>
      </c>
      <c r="L6" s="6" t="n">
        <v>23770420</v>
      </c>
      <c r="M6" s="6" t="n">
        <v>24304485</v>
      </c>
      <c r="N6" s="6" t="n">
        <v>24884401</v>
      </c>
      <c r="O6" s="6" t="n">
        <v>25435148</v>
      </c>
    </row>
    <row r="7" customFormat="false" ht="15" hidden="false" customHeight="false" outlineLevel="0" collapsed="false">
      <c r="A7" s="5" t="s">
        <v>21</v>
      </c>
      <c r="B7" s="2" t="s">
        <v>22</v>
      </c>
      <c r="C7" s="6" t="n">
        <v>12392562</v>
      </c>
      <c r="D7" s="6" t="n">
        <v>12654237</v>
      </c>
      <c r="E7" s="6" t="n">
        <v>13177191</v>
      </c>
      <c r="F7" s="6" t="n">
        <v>13641174</v>
      </c>
      <c r="G7" s="6" t="n">
        <v>13886528</v>
      </c>
      <c r="H7" s="6" t="n">
        <v>14126559</v>
      </c>
      <c r="I7" s="6" t="n">
        <v>14274437</v>
      </c>
      <c r="J7" s="6" t="n">
        <v>14940901</v>
      </c>
      <c r="K7" s="6" t="n">
        <v>15162219</v>
      </c>
      <c r="L7" s="6" t="n">
        <v>15396134</v>
      </c>
      <c r="M7" s="6" t="n">
        <v>15593383</v>
      </c>
      <c r="N7" s="6" t="n">
        <v>15823144</v>
      </c>
      <c r="O7" s="6" t="n">
        <v>16006041</v>
      </c>
    </row>
    <row r="8" customFormat="false" ht="15" hidden="false" customHeight="false" outlineLevel="0" collapsed="false">
      <c r="A8" s="5" t="s">
        <v>29</v>
      </c>
      <c r="B8" s="2" t="s">
        <v>30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384155</v>
      </c>
      <c r="O8" s="6" t="n">
        <v>397708</v>
      </c>
    </row>
    <row r="9" customFormat="false" ht="15" hidden="false" customHeight="false" outlineLevel="0" collapsed="false">
      <c r="A9" s="5" t="s">
        <v>31</v>
      </c>
      <c r="B9" s="2" t="s">
        <v>32</v>
      </c>
      <c r="C9" s="6" t="n">
        <v>197674</v>
      </c>
      <c r="D9" s="6" t="n">
        <v>211204</v>
      </c>
      <c r="E9" s="6" t="n">
        <v>225607</v>
      </c>
      <c r="F9" s="6" t="n">
        <v>238052</v>
      </c>
      <c r="G9" s="6" t="n">
        <v>247752</v>
      </c>
      <c r="H9" s="6" t="n">
        <v>261082</v>
      </c>
      <c r="I9" s="6" t="n">
        <v>272882</v>
      </c>
      <c r="J9" s="6" t="n">
        <v>287805</v>
      </c>
      <c r="K9" s="6" t="n">
        <v>301533</v>
      </c>
      <c r="L9" s="6" t="n">
        <v>316404</v>
      </c>
      <c r="M9" s="6" t="n">
        <v>337421</v>
      </c>
      <c r="N9" s="6" t="n">
        <v>353273</v>
      </c>
      <c r="O9" s="6" t="n">
        <v>367605</v>
      </c>
    </row>
    <row r="10" customFormat="false" ht="15" hidden="false" customHeight="false" outlineLevel="0" collapsed="false">
      <c r="A10" s="5" t="s">
        <v>25</v>
      </c>
      <c r="B10" s="2" t="s">
        <v>26</v>
      </c>
      <c r="C10" s="6" t="n">
        <v>105078</v>
      </c>
      <c r="D10" s="6" t="n">
        <v>113564</v>
      </c>
      <c r="E10" s="6" t="n">
        <v>124502</v>
      </c>
      <c r="F10" s="6" t="n">
        <v>135553</v>
      </c>
      <c r="G10" s="6" t="n">
        <v>145268</v>
      </c>
      <c r="H10" s="6" t="n">
        <v>154529</v>
      </c>
      <c r="I10" s="6" t="n">
        <v>164572</v>
      </c>
      <c r="J10" s="6" t="n">
        <v>177208</v>
      </c>
      <c r="K10" s="6" t="n">
        <v>192620</v>
      </c>
      <c r="L10" s="6" t="n">
        <v>191944</v>
      </c>
      <c r="M10" s="6" t="n">
        <v>186620</v>
      </c>
      <c r="N10" s="6" t="n">
        <v>180006</v>
      </c>
      <c r="O10" s="6" t="n">
        <v>173519</v>
      </c>
    </row>
    <row r="11" customFormat="false" ht="15" hidden="false" customHeight="false" outlineLevel="0" collapsed="false">
      <c r="A11" s="7" t="s">
        <v>39</v>
      </c>
      <c r="C11" s="8" t="n">
        <f aca="false">SUM(C5:C10)</f>
        <v>52033399</v>
      </c>
      <c r="D11" s="8" t="n">
        <f aca="false">SUM(D5:D10)</f>
        <v>53324152</v>
      </c>
      <c r="E11" s="8" t="n">
        <f aca="false">SUM(E5:E10)</f>
        <v>55040737</v>
      </c>
      <c r="F11" s="8" t="n">
        <f aca="false">SUM(F5:F10)</f>
        <v>56650875</v>
      </c>
      <c r="G11" s="8" t="n">
        <f aca="false">SUM(G5:G10)</f>
        <v>58144133</v>
      </c>
      <c r="H11" s="8" t="n">
        <f aca="false">SUM(H5:H10)</f>
        <v>59987619</v>
      </c>
      <c r="I11" s="8" t="n">
        <f aca="false">SUM(I5:I10)</f>
        <v>61180327</v>
      </c>
      <c r="J11" s="8" t="n">
        <f aca="false">SUM(J5:J10)</f>
        <v>63188106</v>
      </c>
      <c r="K11" s="8" t="n">
        <f aca="false">SUM(K5:K10)</f>
        <v>64410391</v>
      </c>
      <c r="L11" s="8" t="n">
        <f aca="false">SUM(L5:L10)</f>
        <v>66033081</v>
      </c>
      <c r="M11" s="8" t="n">
        <f aca="false">SUM(M5:M10)</f>
        <v>67153601</v>
      </c>
      <c r="N11" s="8" t="n">
        <f aca="false">SUM(N5:N10)</f>
        <v>68816435</v>
      </c>
      <c r="O11" s="8" t="n">
        <f aca="false">SUM(O5:O10)</f>
        <v>69703432</v>
      </c>
    </row>
    <row r="13" customFormat="false" ht="15" hidden="false" customHeight="false" outlineLevel="0" collapsed="false">
      <c r="A13" s="3" t="s">
        <v>40</v>
      </c>
      <c r="B13" s="3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J13" s="4" t="s">
        <v>11</v>
      </c>
      <c r="K13" s="4" t="s">
        <v>12</v>
      </c>
      <c r="L13" s="4" t="s">
        <v>13</v>
      </c>
      <c r="M13" s="4" t="s">
        <v>14</v>
      </c>
      <c r="N13" s="4" t="s">
        <v>15</v>
      </c>
      <c r="O13" s="4" t="s">
        <v>16</v>
      </c>
    </row>
    <row r="14" customFormat="false" ht="15" hidden="false" customHeight="false" outlineLevel="0" collapsed="false">
      <c r="A14" s="5" t="str">
        <f aca="false">A5</f>
        <v>Vivo</v>
      </c>
      <c r="B14" s="2" t="str">
        <f aca="false">B5</f>
        <v>TELEFONICA</v>
      </c>
      <c r="C14" s="9" t="n">
        <f aca="false">IF(C$11=0,0,C5/C$11)</f>
        <v>0.402954533106707</v>
      </c>
      <c r="D14" s="9" t="n">
        <f aca="false">IF(D$11=0,0,D5/D$11)</f>
        <v>0.403283112687849</v>
      </c>
      <c r="E14" s="9" t="n">
        <f aca="false">IF(E$11=0,0,E5/E$11)</f>
        <v>0.401403654896554</v>
      </c>
      <c r="F14" s="9" t="n">
        <f aca="false">IF(F$11=0,0,F5/F$11)</f>
        <v>0.398750169348664</v>
      </c>
      <c r="G14" s="9" t="n">
        <f aca="false">IF(G$11=0,0,G5/G$11)</f>
        <v>0.398652620720993</v>
      </c>
      <c r="H14" s="9" t="n">
        <f aca="false">IF(H$11=0,0,H5/H$11)</f>
        <v>0.402016172703904</v>
      </c>
      <c r="I14" s="9" t="n">
        <f aca="false">IF(I$11=0,0,I5/I$11)</f>
        <v>0.401471799913721</v>
      </c>
      <c r="J14" s="9" t="n">
        <f aca="false">IF(J$11=0,0,J5/J$11)</f>
        <v>0.39885431919735</v>
      </c>
      <c r="K14" s="9" t="n">
        <f aca="false">IF(K$11=0,0,K5/K$11)</f>
        <v>0.400215067783085</v>
      </c>
      <c r="L14" s="9" t="n">
        <f aca="false">IF(L$11=0,0,L5/L$11)</f>
        <v>0.399166275461234</v>
      </c>
      <c r="M14" s="9" t="n">
        <f aca="false">IF(M$11=0,0,M5/M$11)</f>
        <v>0.398067886188263</v>
      </c>
      <c r="N14" s="9" t="n">
        <f aca="false">IF(N$11=0,0,N5/N$11)</f>
        <v>0.395130262124157</v>
      </c>
      <c r="O14" s="9" t="n">
        <f aca="false">IF(O$11=0,0,O5/O$11)</f>
        <v>0.391995203335182</v>
      </c>
    </row>
    <row r="15" customFormat="false" ht="15" hidden="false" customHeight="false" outlineLevel="0" collapsed="false">
      <c r="A15" s="5" t="str">
        <f aca="false">A6</f>
        <v>Claro</v>
      </c>
      <c r="B15" s="2" t="str">
        <f aca="false">B6</f>
        <v>TELECOM AMERICAS</v>
      </c>
      <c r="C15" s="9" t="n">
        <f aca="false">IF(C$11=0,0,C6/C$11)</f>
        <v>0.35306152112031</v>
      </c>
      <c r="D15" s="9" t="n">
        <f aca="false">IF(D$11=0,0,D6/D$11)</f>
        <v>0.353318642554316</v>
      </c>
      <c r="E15" s="9" t="n">
        <f aca="false">IF(E$11=0,0,E6/E$11)</f>
        <v>0.352827470315305</v>
      </c>
      <c r="F15" s="9" t="n">
        <f aca="false">IF(F$11=0,0,F6/F$11)</f>
        <v>0.353861259865801</v>
      </c>
      <c r="G15" s="9" t="n">
        <f aca="false">IF(G$11=0,0,G6/G$11)</f>
        <v>0.355758576707989</v>
      </c>
      <c r="H15" s="9" t="n">
        <f aca="false">IF(H$11=0,0,H6/H$11)</f>
        <v>0.355564304027469</v>
      </c>
      <c r="I15" s="9" t="n">
        <f aca="false">IF(I$11=0,0,I6/I$11)</f>
        <v>0.358060524913507</v>
      </c>
      <c r="J15" s="9" t="n">
        <f aca="false">IF(J$11=0,0,J6/J$11)</f>
        <v>0.357335334596039</v>
      </c>
      <c r="K15" s="9" t="n">
        <f aca="false">IF(K$11=0,0,K6/K$11)</f>
        <v>0.356712785674597</v>
      </c>
      <c r="L15" s="9" t="n">
        <f aca="false">IF(L$11=0,0,L6/L$11)</f>
        <v>0.359977448273237</v>
      </c>
      <c r="M15" s="9" t="n">
        <f aca="false">IF(M$11=0,0,M6/M$11)</f>
        <v>0.36192377829448</v>
      </c>
      <c r="N15" s="9" t="n">
        <f aca="false">IF(N$11=0,0,N6/N$11)</f>
        <v>0.361605494385171</v>
      </c>
      <c r="O15" s="9" t="n">
        <f aca="false">IF(O$11=0,0,O6/O$11)</f>
        <v>0.364905245985592</v>
      </c>
    </row>
    <row r="16" customFormat="false" ht="15" hidden="false" customHeight="false" outlineLevel="0" collapsed="false">
      <c r="A16" s="5" t="str">
        <f aca="false">A7</f>
        <v>TIM</v>
      </c>
      <c r="B16" s="2" t="str">
        <f aca="false">B7</f>
        <v>TELECOM ITALIA</v>
      </c>
      <c r="C16" s="9" t="n">
        <f aca="false">IF(C$11=0,0,C7/C$11)</f>
        <v>0.238165529028769</v>
      </c>
      <c r="D16" s="9" t="n">
        <f aca="false">IF(D$11=0,0,D7/D$11)</f>
        <v>0.237307796287131</v>
      </c>
      <c r="E16" s="9" t="n">
        <f aca="false">IF(E$11=0,0,E7/E$11)</f>
        <v>0.239407967956534</v>
      </c>
      <c r="F16" s="9" t="n">
        <f aca="false">IF(F$11=0,0,F7/F$11)</f>
        <v>0.240793703539442</v>
      </c>
      <c r="G16" s="9" t="n">
        <f aca="false">IF(G$11=0,0,G7/G$11)</f>
        <v>0.238829393156486</v>
      </c>
      <c r="H16" s="9" t="n">
        <f aca="false">IF(H$11=0,0,H7/H$11)</f>
        <v>0.235491243618121</v>
      </c>
      <c r="I16" s="9" t="n">
        <f aca="false">IF(I$11=0,0,I7/I$11)</f>
        <v>0.233317435521389</v>
      </c>
      <c r="J16" s="9" t="n">
        <f aca="false">IF(J$11=0,0,J7/J$11)</f>
        <v>0.236451160602915</v>
      </c>
      <c r="K16" s="9" t="n">
        <f aca="false">IF(K$11=0,0,K7/K$11)</f>
        <v>0.235400201188035</v>
      </c>
      <c r="L16" s="9" t="n">
        <f aca="false">IF(L$11=0,0,L7/L$11)</f>
        <v>0.233157892481194</v>
      </c>
      <c r="M16" s="9" t="n">
        <f aca="false">IF(M$11=0,0,M7/M$11)</f>
        <v>0.232204718254796</v>
      </c>
      <c r="N16" s="9" t="n">
        <f aca="false">IF(N$11=0,0,N7/N$11)</f>
        <v>0.229932631645333</v>
      </c>
      <c r="O16" s="9" t="n">
        <f aca="false">IF(O$11=0,0,O7/O$11)</f>
        <v>0.229630601259347</v>
      </c>
    </row>
    <row r="17" customFormat="false" ht="15" hidden="false" customHeight="false" outlineLevel="0" collapsed="false">
      <c r="A17" s="5" t="str">
        <f aca="false">A8</f>
        <v>Vero</v>
      </c>
      <c r="B17" s="2" t="str">
        <f aca="false">B8</f>
        <v>VERO</v>
      </c>
      <c r="C17" s="9" t="n">
        <f aca="false">IF(C$11=0,0,C8/C$11)</f>
        <v>0</v>
      </c>
      <c r="D17" s="9" t="n">
        <f aca="false">IF(D$11=0,0,D8/D$11)</f>
        <v>0</v>
      </c>
      <c r="E17" s="9" t="n">
        <f aca="false">IF(E$11=0,0,E8/E$11)</f>
        <v>0</v>
      </c>
      <c r="F17" s="9" t="n">
        <f aca="false">IF(F$11=0,0,F8/F$11)</f>
        <v>0</v>
      </c>
      <c r="G17" s="9" t="n">
        <f aca="false">IF(G$11=0,0,G8/G$11)</f>
        <v>0</v>
      </c>
      <c r="H17" s="9" t="n">
        <f aca="false">IF(H$11=0,0,H8/H$11)</f>
        <v>0</v>
      </c>
      <c r="I17" s="9" t="n">
        <f aca="false">IF(I$11=0,0,I8/I$11)</f>
        <v>0</v>
      </c>
      <c r="J17" s="9" t="n">
        <f aca="false">IF(J$11=0,0,J8/J$11)</f>
        <v>0</v>
      </c>
      <c r="K17" s="9" t="n">
        <f aca="false">IF(K$11=0,0,K8/K$11)</f>
        <v>0</v>
      </c>
      <c r="L17" s="9" t="n">
        <f aca="false">IF(L$11=0,0,L8/L$11)</f>
        <v>0</v>
      </c>
      <c r="M17" s="9" t="n">
        <f aca="false">IF(M$11=0,0,M8/M$11)</f>
        <v>0</v>
      </c>
      <c r="N17" s="9" t="n">
        <f aca="false">IF(N$11=0,0,N8/N$11)</f>
        <v>0.00558231474792323</v>
      </c>
      <c r="O17" s="9" t="n">
        <f aca="false">IF(O$11=0,0,O8/O$11)</f>
        <v>0.00570571618338678</v>
      </c>
    </row>
    <row r="18" customFormat="false" ht="15" hidden="false" customHeight="false" outlineLevel="0" collapsed="false">
      <c r="A18" s="5" t="str">
        <f aca="false">A9</f>
        <v>Unifique</v>
      </c>
      <c r="B18" s="2" t="str">
        <f aca="false">B9</f>
        <v>UNIFIQUE</v>
      </c>
      <c r="C18" s="9" t="n">
        <f aca="false">IF(C$11=0,0,C9/C$11)</f>
        <v>0.00379898303395479</v>
      </c>
      <c r="D18" s="9" t="n">
        <f aca="false">IF(D$11=0,0,D9/D$11)</f>
        <v>0.00396075684429074</v>
      </c>
      <c r="E18" s="9" t="n">
        <f aca="false">IF(E$11=0,0,E9/E$11)</f>
        <v>0.00409890950406424</v>
      </c>
      <c r="F18" s="9" t="n">
        <f aca="false">IF(F$11=0,0,F9/F$11)</f>
        <v>0.00420208867029856</v>
      </c>
      <c r="G18" s="9" t="n">
        <f aca="false">IF(G$11=0,0,G9/G$11)</f>
        <v>0.0042609974079414</v>
      </c>
      <c r="H18" s="9" t="n">
        <f aca="false">IF(H$11=0,0,H9/H$11)</f>
        <v>0.00435226475649917</v>
      </c>
      <c r="I18" s="9" t="n">
        <f aca="false">IF(I$11=0,0,I9/I$11)</f>
        <v>0.00446028998831602</v>
      </c>
      <c r="J18" s="9" t="n">
        <f aca="false">IF(J$11=0,0,J9/J$11)</f>
        <v>0.00455473376587676</v>
      </c>
      <c r="K18" s="9" t="n">
        <f aca="false">IF(K$11=0,0,K9/K$11)</f>
        <v>0.00468143408724223</v>
      </c>
      <c r="L18" s="9" t="n">
        <f aca="false">IF(L$11=0,0,L9/L$11)</f>
        <v>0.00479159832024194</v>
      </c>
      <c r="M18" s="9" t="n">
        <f aca="false">IF(M$11=0,0,M9/M$11)</f>
        <v>0.00502461513567977</v>
      </c>
      <c r="N18" s="9" t="n">
        <f aca="false">IF(N$11=0,0,N9/N$11)</f>
        <v>0.00513355566878755</v>
      </c>
      <c r="O18" s="9" t="n">
        <f aca="false">IF(O$11=0,0,O9/O$11)</f>
        <v>0.0052738436179154</v>
      </c>
    </row>
    <row r="19" customFormat="false" ht="15" hidden="false" customHeight="false" outlineLevel="0" collapsed="false">
      <c r="A19" s="5" t="str">
        <f aca="false">A10</f>
        <v>Brisanet</v>
      </c>
      <c r="B19" s="2" t="str">
        <f aca="false">B10</f>
        <v>BRISANET</v>
      </c>
      <c r="C19" s="9" t="n">
        <f aca="false">IF(C$11=0,0,C10/C$11)</f>
        <v>0.00201943371025983</v>
      </c>
      <c r="D19" s="9" t="n">
        <f aca="false">IF(D$11=0,0,D10/D$11)</f>
        <v>0.00212969162641349</v>
      </c>
      <c r="E19" s="9" t="n">
        <f aca="false">IF(E$11=0,0,E10/E$11)</f>
        <v>0.00226199732754305</v>
      </c>
      <c r="F19" s="9" t="n">
        <f aca="false">IF(F$11=0,0,F10/F$11)</f>
        <v>0.00239277857579428</v>
      </c>
      <c r="G19" s="9" t="n">
        <f aca="false">IF(G$11=0,0,G10/G$11)</f>
        <v>0.00249841200659059</v>
      </c>
      <c r="H19" s="9" t="n">
        <f aca="false">IF(H$11=0,0,H10/H$11)</f>
        <v>0.00257601489400671</v>
      </c>
      <c r="I19" s="9" t="n">
        <f aca="false">IF(I$11=0,0,I10/I$11)</f>
        <v>0.00268994966306735</v>
      </c>
      <c r="J19" s="9" t="n">
        <f aca="false">IF(J$11=0,0,J10/J$11)</f>
        <v>0.00280445183781897</v>
      </c>
      <c r="K19" s="9" t="n">
        <f aca="false">IF(K$11=0,0,K10/K$11)</f>
        <v>0.00299051126704075</v>
      </c>
      <c r="L19" s="9" t="n">
        <f aca="false">IF(L$11=0,0,L10/L$11)</f>
        <v>0.00290678546409185</v>
      </c>
      <c r="M19" s="9" t="n">
        <f aca="false">IF(M$11=0,0,M10/M$11)</f>
        <v>0.00277900212678096</v>
      </c>
      <c r="N19" s="9" t="n">
        <f aca="false">IF(N$11=0,0,N10/N$11)</f>
        <v>0.00261574142862821</v>
      </c>
      <c r="O19" s="9" t="n">
        <f aca="false">IF(O$11=0,0,O10/O$11)</f>
        <v>0.00248938961857717</v>
      </c>
    </row>
    <row r="20" customFormat="false" ht="15" hidden="false" customHeight="false" outlineLevel="0" collapsed="false">
      <c r="A20" s="7" t="str">
        <f aca="false">A11</f>
        <v>Total</v>
      </c>
      <c r="C20" s="10" t="n">
        <f aca="false">IF(C$11=0,0,C11/C$11)</f>
        <v>1</v>
      </c>
      <c r="D20" s="10" t="n">
        <f aca="false">IF(D$11=0,0,D11/D$11)</f>
        <v>1</v>
      </c>
      <c r="E20" s="10" t="n">
        <f aca="false">IF(E$11=0,0,E11/E$11)</f>
        <v>1</v>
      </c>
      <c r="F20" s="10" t="n">
        <f aca="false">IF(F$11=0,0,F11/F$11)</f>
        <v>1</v>
      </c>
      <c r="G20" s="10" t="n">
        <f aca="false">IF(G$11=0,0,G11/G$11)</f>
        <v>1</v>
      </c>
      <c r="H20" s="10" t="n">
        <f aca="false">IF(H$11=0,0,H11/H$11)</f>
        <v>1</v>
      </c>
      <c r="I20" s="10" t="n">
        <f aca="false">IF(I$11=0,0,I11/I$11)</f>
        <v>1</v>
      </c>
      <c r="J20" s="10" t="n">
        <f aca="false">IF(J$11=0,0,J11/J$11)</f>
        <v>1</v>
      </c>
      <c r="K20" s="10" t="n">
        <f aca="false">IF(K$11=0,0,K11/K$11)</f>
        <v>1</v>
      </c>
      <c r="L20" s="10" t="n">
        <f aca="false">IF(L$11=0,0,L11/L$11)</f>
        <v>1</v>
      </c>
      <c r="M20" s="10" t="n">
        <f aca="false">IF(M$11=0,0,M11/M$11)</f>
        <v>1</v>
      </c>
      <c r="N20" s="10" t="n">
        <f aca="false">IF(N$11=0,0,N11/N$11)</f>
        <v>1</v>
      </c>
      <c r="O20" s="10" t="n">
        <f aca="false">IF(O$11=0,0,O11/O$11)</f>
        <v>1</v>
      </c>
    </row>
    <row r="22" customFormat="false" ht="15" hidden="false" customHeight="false" outlineLevel="0" collapsed="false">
      <c r="A22" s="3" t="s">
        <v>41</v>
      </c>
      <c r="B22" s="3" t="s">
        <v>3</v>
      </c>
      <c r="C22" s="4" t="s">
        <v>4</v>
      </c>
      <c r="D22" s="4" t="s">
        <v>5</v>
      </c>
      <c r="E22" s="4" t="s">
        <v>6</v>
      </c>
      <c r="F22" s="4" t="s">
        <v>7</v>
      </c>
      <c r="G22" s="4" t="s">
        <v>8</v>
      </c>
      <c r="H22" s="4" t="s">
        <v>9</v>
      </c>
      <c r="I22" s="4" t="s">
        <v>10</v>
      </c>
      <c r="J22" s="4" t="s">
        <v>11</v>
      </c>
      <c r="K22" s="4" t="s">
        <v>12</v>
      </c>
      <c r="L22" s="4" t="s">
        <v>13</v>
      </c>
      <c r="M22" s="4" t="s">
        <v>14</v>
      </c>
      <c r="N22" s="4" t="s">
        <v>15</v>
      </c>
      <c r="O22" s="4" t="s">
        <v>16</v>
      </c>
    </row>
    <row r="23" customFormat="false" ht="15" hidden="false" customHeight="false" outlineLevel="0" collapsed="false">
      <c r="A23" s="5" t="str">
        <f aca="false">A5</f>
        <v>Vivo</v>
      </c>
      <c r="B23" s="2" t="str">
        <f aca="false">B5</f>
        <v>TELEFONICA</v>
      </c>
      <c r="D23" s="11" t="n">
        <f aca="false">D5-C5</f>
        <v>537636</v>
      </c>
      <c r="E23" s="11" t="n">
        <f aca="false">E5-D5</f>
        <v>588823</v>
      </c>
      <c r="F23" s="11" t="n">
        <f aca="false">F5-E5</f>
        <v>495993</v>
      </c>
      <c r="G23" s="11" t="n">
        <f aca="false">G5-F5</f>
        <v>589765</v>
      </c>
      <c r="H23" s="11" t="n">
        <f aca="false">H5-G5</f>
        <v>936682</v>
      </c>
      <c r="I23" s="11" t="n">
        <f aca="false">I5-H5</f>
        <v>446183</v>
      </c>
      <c r="J23" s="11" t="n">
        <f aca="false">J5-I5</f>
        <v>640673</v>
      </c>
      <c r="K23" s="11" t="n">
        <f aca="false">K5-J5</f>
        <v>575160</v>
      </c>
      <c r="L23" s="11" t="n">
        <f aca="false">L5-K5</f>
        <v>580170</v>
      </c>
      <c r="M23" s="11" t="n">
        <f aca="false">M5-L5</f>
        <v>373513</v>
      </c>
      <c r="N23" s="11" t="n">
        <f aca="false">N5-M5</f>
        <v>459764</v>
      </c>
      <c r="O23" s="11" t="n">
        <f aca="false">O5-N5</f>
        <v>131955</v>
      </c>
    </row>
    <row r="24" customFormat="false" ht="15" hidden="false" customHeight="false" outlineLevel="0" collapsed="false">
      <c r="A24" s="5" t="str">
        <f aca="false">A6</f>
        <v>Claro</v>
      </c>
      <c r="B24" s="2" t="str">
        <f aca="false">B6</f>
        <v>TELECOM AMERICAS</v>
      </c>
      <c r="D24" s="11" t="n">
        <f aca="false">D6-C6</f>
        <v>469426</v>
      </c>
      <c r="E24" s="11" t="n">
        <f aca="false">E6-D6</f>
        <v>579467</v>
      </c>
      <c r="F24" s="11" t="n">
        <f aca="false">F6-E6</f>
        <v>626666</v>
      </c>
      <c r="G24" s="11" t="n">
        <f aca="false">G6-F6</f>
        <v>638724</v>
      </c>
      <c r="H24" s="11" t="n">
        <f aca="false">H6-G6</f>
        <v>644182</v>
      </c>
      <c r="I24" s="11" t="n">
        <f aca="false">I6-H6</f>
        <v>576804</v>
      </c>
      <c r="J24" s="11" t="n">
        <f aca="false">J6-I6</f>
        <v>673083</v>
      </c>
      <c r="K24" s="11" t="n">
        <f aca="false">K6-J6</f>
        <v>396667</v>
      </c>
      <c r="L24" s="11" t="n">
        <f aca="false">L6-K6</f>
        <v>794410</v>
      </c>
      <c r="M24" s="11" t="n">
        <f aca="false">M6-L6</f>
        <v>534065</v>
      </c>
      <c r="N24" s="11" t="n">
        <f aca="false">N6-M6</f>
        <v>579916</v>
      </c>
      <c r="O24" s="11" t="n">
        <f aca="false">O6-N6</f>
        <v>550747</v>
      </c>
    </row>
    <row r="25" customFormat="false" ht="15" hidden="false" customHeight="false" outlineLevel="0" collapsed="false">
      <c r="A25" s="5" t="str">
        <f aca="false">A7</f>
        <v>TIM</v>
      </c>
      <c r="B25" s="2" t="str">
        <f aca="false">B7</f>
        <v>TELECOM ITALIA</v>
      </c>
      <c r="D25" s="11" t="n">
        <f aca="false">D7-C7</f>
        <v>261675</v>
      </c>
      <c r="E25" s="11" t="n">
        <f aca="false">E7-D7</f>
        <v>522954</v>
      </c>
      <c r="F25" s="11" t="n">
        <f aca="false">F7-E7</f>
        <v>463983</v>
      </c>
      <c r="G25" s="11" t="n">
        <f aca="false">G7-F7</f>
        <v>245354</v>
      </c>
      <c r="H25" s="11" t="n">
        <f aca="false">H7-G7</f>
        <v>240031</v>
      </c>
      <c r="I25" s="11" t="n">
        <f aca="false">I7-H7</f>
        <v>147878</v>
      </c>
      <c r="J25" s="11" t="n">
        <f aca="false">J7-I7</f>
        <v>666464</v>
      </c>
      <c r="K25" s="11" t="n">
        <f aca="false">K7-J7</f>
        <v>221318</v>
      </c>
      <c r="L25" s="11" t="n">
        <f aca="false">L7-K7</f>
        <v>233915</v>
      </c>
      <c r="M25" s="11" t="n">
        <f aca="false">M7-L7</f>
        <v>197249</v>
      </c>
      <c r="N25" s="11" t="n">
        <f aca="false">N7-M7</f>
        <v>229761</v>
      </c>
      <c r="O25" s="11" t="n">
        <f aca="false">O7-N7</f>
        <v>182897</v>
      </c>
    </row>
    <row r="26" customFormat="false" ht="15" hidden="false" customHeight="false" outlineLevel="0" collapsed="false">
      <c r="A26" s="5" t="str">
        <f aca="false">A8</f>
        <v>Vero</v>
      </c>
      <c r="B26" s="2" t="str">
        <f aca="false">B8</f>
        <v>VERO</v>
      </c>
      <c r="D26" s="11" t="n">
        <f aca="false">D8-C8</f>
        <v>0</v>
      </c>
      <c r="E26" s="11" t="n">
        <f aca="false">E8-D8</f>
        <v>0</v>
      </c>
      <c r="F26" s="11" t="n">
        <f aca="false">F8-E8</f>
        <v>0</v>
      </c>
      <c r="G26" s="11" t="n">
        <f aca="false">G8-F8</f>
        <v>0</v>
      </c>
      <c r="H26" s="11" t="n">
        <f aca="false">H8-G8</f>
        <v>0</v>
      </c>
      <c r="I26" s="11" t="n">
        <f aca="false">I8-H8</f>
        <v>0</v>
      </c>
      <c r="J26" s="11" t="n">
        <f aca="false">J8-I8</f>
        <v>0</v>
      </c>
      <c r="K26" s="11" t="n">
        <f aca="false">K8-J8</f>
        <v>0</v>
      </c>
      <c r="L26" s="11" t="n">
        <f aca="false">L8-K8</f>
        <v>0</v>
      </c>
      <c r="M26" s="11" t="n">
        <f aca="false">M8-L8</f>
        <v>0</v>
      </c>
      <c r="N26" s="11" t="n">
        <f aca="false">N8-M8</f>
        <v>384155</v>
      </c>
      <c r="O26" s="11" t="n">
        <f aca="false">O8-N8</f>
        <v>13553</v>
      </c>
    </row>
    <row r="27" customFormat="false" ht="15" hidden="false" customHeight="false" outlineLevel="0" collapsed="false">
      <c r="A27" s="5" t="str">
        <f aca="false">A9</f>
        <v>Unifique</v>
      </c>
      <c r="B27" s="2" t="str">
        <f aca="false">B9</f>
        <v>UNIFIQUE</v>
      </c>
      <c r="D27" s="11" t="n">
        <f aca="false">D9-C9</f>
        <v>13530</v>
      </c>
      <c r="E27" s="11" t="n">
        <f aca="false">E9-D9</f>
        <v>14403</v>
      </c>
      <c r="F27" s="11" t="n">
        <f aca="false">F9-E9</f>
        <v>12445</v>
      </c>
      <c r="G27" s="11" t="n">
        <f aca="false">G9-F9</f>
        <v>9700</v>
      </c>
      <c r="H27" s="11" t="n">
        <f aca="false">H9-G9</f>
        <v>13330</v>
      </c>
      <c r="I27" s="11" t="n">
        <f aca="false">I9-H9</f>
        <v>11800</v>
      </c>
      <c r="J27" s="11" t="n">
        <f aca="false">J9-I9</f>
        <v>14923</v>
      </c>
      <c r="K27" s="11" t="n">
        <f aca="false">K9-J9</f>
        <v>13728</v>
      </c>
      <c r="L27" s="11" t="n">
        <f aca="false">L9-K9</f>
        <v>14871</v>
      </c>
      <c r="M27" s="11" t="n">
        <f aca="false">M9-L9</f>
        <v>21017</v>
      </c>
      <c r="N27" s="11" t="n">
        <f aca="false">N9-M9</f>
        <v>15852</v>
      </c>
      <c r="O27" s="11" t="n">
        <f aca="false">O9-N9</f>
        <v>14332</v>
      </c>
    </row>
    <row r="28" customFormat="false" ht="15" hidden="false" customHeight="false" outlineLevel="0" collapsed="false">
      <c r="A28" s="5" t="str">
        <f aca="false">A10</f>
        <v>Brisanet</v>
      </c>
      <c r="B28" s="2" t="str">
        <f aca="false">B10</f>
        <v>BRISANET</v>
      </c>
      <c r="D28" s="11" t="n">
        <f aca="false">D10-C10</f>
        <v>8486</v>
      </c>
      <c r="E28" s="11" t="n">
        <f aca="false">E10-D10</f>
        <v>10938</v>
      </c>
      <c r="F28" s="11" t="n">
        <f aca="false">F10-E10</f>
        <v>11051</v>
      </c>
      <c r="G28" s="11" t="n">
        <f aca="false">G10-F10</f>
        <v>9715</v>
      </c>
      <c r="H28" s="11" t="n">
        <f aca="false">H10-G10</f>
        <v>9261</v>
      </c>
      <c r="I28" s="11" t="n">
        <f aca="false">I10-H10</f>
        <v>10043</v>
      </c>
      <c r="J28" s="11" t="n">
        <f aca="false">J10-I10</f>
        <v>12636</v>
      </c>
      <c r="K28" s="11" t="n">
        <f aca="false">K10-J10</f>
        <v>15412</v>
      </c>
      <c r="L28" s="11" t="n">
        <f aca="false">L10-K10</f>
        <v>-676</v>
      </c>
      <c r="M28" s="11" t="n">
        <f aca="false">M10-L10</f>
        <v>-5324</v>
      </c>
      <c r="N28" s="11" t="n">
        <f aca="false">N10-M10</f>
        <v>-6614</v>
      </c>
      <c r="O28" s="11" t="n">
        <f aca="false">O10-N10</f>
        <v>-6487</v>
      </c>
    </row>
    <row r="29" customFormat="false" ht="15" hidden="false" customHeight="false" outlineLevel="0" collapsed="false">
      <c r="A29" s="7" t="str">
        <f aca="false">A11</f>
        <v>Total</v>
      </c>
      <c r="D29" s="12" t="n">
        <f aca="false">D11-C11</f>
        <v>1290753</v>
      </c>
      <c r="E29" s="12" t="n">
        <f aca="false">E11-D11</f>
        <v>1716585</v>
      </c>
      <c r="F29" s="12" t="n">
        <f aca="false">F11-E11</f>
        <v>1610138</v>
      </c>
      <c r="G29" s="12" t="n">
        <f aca="false">G11-F11</f>
        <v>1493258</v>
      </c>
      <c r="H29" s="12" t="n">
        <f aca="false">H11-G11</f>
        <v>1843486</v>
      </c>
      <c r="I29" s="12" t="n">
        <f aca="false">I11-H11</f>
        <v>1192708</v>
      </c>
      <c r="J29" s="12" t="n">
        <f aca="false">J11-I11</f>
        <v>2007779</v>
      </c>
      <c r="K29" s="12" t="n">
        <f aca="false">K11-J11</f>
        <v>1222285</v>
      </c>
      <c r="L29" s="12" t="n">
        <f aca="false">L11-K11</f>
        <v>1622690</v>
      </c>
      <c r="M29" s="12" t="n">
        <f aca="false">M11-L11</f>
        <v>1120520</v>
      </c>
      <c r="N29" s="12" t="n">
        <f aca="false">N11-M11</f>
        <v>1662834</v>
      </c>
      <c r="O29" s="12" t="n">
        <f aca="false">O11-N11</f>
        <v>886997</v>
      </c>
    </row>
    <row r="31" customFormat="false" ht="15" hidden="false" customHeight="false" outlineLevel="0" collapsed="false">
      <c r="A31" s="3" t="s">
        <v>42</v>
      </c>
      <c r="B31" s="3"/>
      <c r="C31" s="3" t="s">
        <v>43</v>
      </c>
      <c r="D31" s="3" t="s">
        <v>44</v>
      </c>
    </row>
    <row r="32" customFormat="false" ht="15" hidden="false" customHeight="false" outlineLevel="0" collapsed="false">
      <c r="A32" s="5" t="str">
        <f aca="false">A5</f>
        <v>Vivo</v>
      </c>
      <c r="C32" s="13" t="n">
        <f aca="false">IF(C5=0,0,O5/C5-1)</f>
        <v>0.303156794165181</v>
      </c>
      <c r="D32" s="14" t="n">
        <f aca="false">(O14-C14)*100</f>
        <v>-1.09593297715255</v>
      </c>
    </row>
    <row r="33" customFormat="false" ht="15" hidden="false" customHeight="false" outlineLevel="0" collapsed="false">
      <c r="A33" s="5" t="str">
        <f aca="false">A6</f>
        <v>Claro</v>
      </c>
      <c r="C33" s="13" t="n">
        <f aca="false">IF(C6=0,0,O6/C6-1)</f>
        <v>0.3845278134424</v>
      </c>
      <c r="D33" s="14" t="n">
        <f aca="false">(O15-C15)*100</f>
        <v>1.18437248652825</v>
      </c>
    </row>
    <row r="34" customFormat="false" ht="15" hidden="false" customHeight="false" outlineLevel="0" collapsed="false">
      <c r="A34" s="5" t="str">
        <f aca="false">A7</f>
        <v>TIM</v>
      </c>
      <c r="C34" s="13" t="n">
        <f aca="false">IF(C7=0,0,O7/C7-1)</f>
        <v>0.291584500444702</v>
      </c>
      <c r="D34" s="14" t="n">
        <f aca="false">(O16-C16)*100</f>
        <v>-0.853492776942172</v>
      </c>
    </row>
    <row r="35" customFormat="false" ht="15" hidden="false" customHeight="false" outlineLevel="0" collapsed="false">
      <c r="A35" s="5" t="str">
        <f aca="false">A8</f>
        <v>Vero</v>
      </c>
      <c r="C35" s="13" t="n">
        <f aca="false">IF(C8=0,0,O8/C8-1)</f>
        <v>0</v>
      </c>
      <c r="D35" s="14" t="n">
        <f aca="false">(O17-C17)*100</f>
        <v>0.570571618338678</v>
      </c>
    </row>
    <row r="36" customFormat="false" ht="15" hidden="false" customHeight="false" outlineLevel="0" collapsed="false">
      <c r="A36" s="5" t="str">
        <f aca="false">A9</f>
        <v>Unifique</v>
      </c>
      <c r="C36" s="13" t="n">
        <f aca="false">IF(C9=0,0,O9/C9-1)</f>
        <v>0.859652761617613</v>
      </c>
      <c r="D36" s="14" t="n">
        <f aca="false">(O18-C18)*100</f>
        <v>0.147486058396061</v>
      </c>
    </row>
    <row r="37" customFormat="false" ht="15" hidden="false" customHeight="false" outlineLevel="0" collapsed="false">
      <c r="A37" s="5" t="str">
        <f aca="false">A10</f>
        <v>Brisanet</v>
      </c>
      <c r="C37" s="13" t="n">
        <f aca="false">IF(C10=0,0,O10/C10-1)</f>
        <v>0.651335198614363</v>
      </c>
      <c r="D37" s="14" t="n">
        <f aca="false">(O19-C19)*100</f>
        <v>0.0469955908317346</v>
      </c>
    </row>
    <row r="38" customFormat="false" ht="15" hidden="false" customHeight="false" outlineLevel="0" collapsed="false">
      <c r="A38" s="7" t="str">
        <f aca="false">A11</f>
        <v>Total</v>
      </c>
      <c r="C38" s="13" t="n">
        <f aca="false">IF(C11=0,0,O11/C11-1)</f>
        <v>0.339590212048227</v>
      </c>
      <c r="D38" s="14" t="n">
        <f aca="false">(O20-C20)*100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17</v>
      </c>
      <c r="B5" s="2" t="s">
        <v>18</v>
      </c>
      <c r="C5" s="6" t="n">
        <v>8076485</v>
      </c>
      <c r="D5" s="6" t="n">
        <v>8055788</v>
      </c>
      <c r="E5" s="6" t="n">
        <v>8172761</v>
      </c>
      <c r="F5" s="6" t="n">
        <v>8116947</v>
      </c>
      <c r="G5" s="6" t="n">
        <v>8178330</v>
      </c>
      <c r="H5" s="6" t="n">
        <v>8329445</v>
      </c>
      <c r="I5" s="6" t="n">
        <v>8348066</v>
      </c>
      <c r="J5" s="6" t="n">
        <v>8639275</v>
      </c>
      <c r="K5" s="6" t="n">
        <v>8932985</v>
      </c>
      <c r="L5" s="6" t="n">
        <v>9021567</v>
      </c>
      <c r="M5" s="6" t="n">
        <v>9218172</v>
      </c>
      <c r="N5" s="6" t="n">
        <v>9464571</v>
      </c>
      <c r="O5" s="6" t="n">
        <v>9579248</v>
      </c>
    </row>
    <row r="6" customFormat="false" ht="15" hidden="false" customHeight="false" outlineLevel="0" collapsed="false">
      <c r="A6" s="5" t="s">
        <v>19</v>
      </c>
      <c r="B6" s="2" t="s">
        <v>20</v>
      </c>
      <c r="C6" s="6" t="n">
        <v>7543383</v>
      </c>
      <c r="D6" s="6" t="n">
        <v>7567408</v>
      </c>
      <c r="E6" s="6" t="n">
        <v>7669454</v>
      </c>
      <c r="F6" s="6" t="n">
        <v>7767070</v>
      </c>
      <c r="G6" s="6" t="n">
        <v>7828045</v>
      </c>
      <c r="H6" s="6" t="n">
        <v>7926980</v>
      </c>
      <c r="I6" s="6" t="n">
        <v>7904646</v>
      </c>
      <c r="J6" s="6" t="n">
        <v>7980004</v>
      </c>
      <c r="K6" s="6" t="n">
        <v>8054719</v>
      </c>
      <c r="L6" s="6" t="n">
        <v>8071538</v>
      </c>
      <c r="M6" s="6" t="n">
        <v>8278735</v>
      </c>
      <c r="N6" s="6" t="n">
        <v>8393048</v>
      </c>
      <c r="O6" s="6" t="n">
        <v>8553023</v>
      </c>
    </row>
    <row r="7" customFormat="false" ht="15" hidden="false" customHeight="false" outlineLevel="0" collapsed="false">
      <c r="A7" s="5" t="s">
        <v>35</v>
      </c>
      <c r="B7" s="2" t="s">
        <v>36</v>
      </c>
      <c r="C7" s="6" t="n">
        <v>3048538</v>
      </c>
      <c r="D7" s="6" t="n">
        <v>3150465</v>
      </c>
      <c r="E7" s="6" t="n">
        <v>3254624</v>
      </c>
      <c r="F7" s="6" t="n">
        <v>3359624</v>
      </c>
      <c r="G7" s="6" t="n">
        <v>3482624</v>
      </c>
      <c r="H7" s="6" t="n">
        <v>3534624</v>
      </c>
      <c r="I7" s="6" t="n">
        <v>3566624</v>
      </c>
      <c r="J7" s="6" t="n">
        <v>3607309</v>
      </c>
      <c r="K7" s="6" t="n">
        <v>3707814</v>
      </c>
      <c r="L7" s="6" t="n">
        <v>3796814</v>
      </c>
      <c r="M7" s="6" t="n">
        <v>4057051</v>
      </c>
      <c r="N7" s="6" t="n">
        <v>4573903</v>
      </c>
      <c r="O7" s="6" t="n">
        <v>4835445</v>
      </c>
    </row>
    <row r="8" customFormat="false" ht="15" hidden="false" customHeight="false" outlineLevel="0" collapsed="false">
      <c r="A8" s="5" t="s">
        <v>21</v>
      </c>
      <c r="B8" s="2" t="s">
        <v>22</v>
      </c>
      <c r="C8" s="6" t="n">
        <v>3500585</v>
      </c>
      <c r="D8" s="6" t="n">
        <v>3499433</v>
      </c>
      <c r="E8" s="6" t="n">
        <v>3483339</v>
      </c>
      <c r="F8" s="6" t="n">
        <v>3433651</v>
      </c>
      <c r="G8" s="6" t="n">
        <v>3539113</v>
      </c>
      <c r="H8" s="6" t="n">
        <v>3632513</v>
      </c>
      <c r="I8" s="6" t="n">
        <v>3653345</v>
      </c>
      <c r="J8" s="6" t="n">
        <v>3700313</v>
      </c>
      <c r="K8" s="6" t="n">
        <v>3741007</v>
      </c>
      <c r="L8" s="6" t="n">
        <v>3839499</v>
      </c>
      <c r="M8" s="6" t="n">
        <v>3932965</v>
      </c>
      <c r="N8" s="6" t="n">
        <v>3968224</v>
      </c>
      <c r="O8" s="6" t="n">
        <v>4129952</v>
      </c>
    </row>
    <row r="9" customFormat="false" ht="15" hidden="false" customHeight="false" outlineLevel="0" collapsed="false">
      <c r="A9" s="5" t="s">
        <v>33</v>
      </c>
      <c r="B9" s="2" t="s">
        <v>34</v>
      </c>
      <c r="C9" s="6" t="n">
        <v>2396609</v>
      </c>
      <c r="D9" s="6" t="n">
        <v>2500461</v>
      </c>
      <c r="E9" s="6" t="n">
        <v>2522164</v>
      </c>
      <c r="F9" s="6" t="n">
        <v>2567511</v>
      </c>
      <c r="G9" s="6" t="n">
        <v>2663954</v>
      </c>
      <c r="H9" s="6" t="n">
        <v>2662205</v>
      </c>
      <c r="I9" s="6" t="n">
        <v>2690005</v>
      </c>
      <c r="J9" s="6" t="n">
        <v>3114527</v>
      </c>
      <c r="K9" s="6" t="n">
        <v>3119098</v>
      </c>
      <c r="L9" s="6" t="n">
        <v>3448514</v>
      </c>
      <c r="M9" s="6" t="n">
        <v>3561741</v>
      </c>
      <c r="N9" s="6" t="n">
        <v>3642137</v>
      </c>
      <c r="O9" s="6" t="n">
        <v>3670830</v>
      </c>
    </row>
    <row r="10" customFormat="false" ht="15" hidden="false" customHeight="false" outlineLevel="0" collapsed="false">
      <c r="A10" s="5" t="s">
        <v>27</v>
      </c>
      <c r="B10" s="2" t="s">
        <v>28</v>
      </c>
      <c r="C10" s="6" t="n">
        <v>3059124</v>
      </c>
      <c r="D10" s="6" t="n">
        <v>3053524</v>
      </c>
      <c r="E10" s="6" t="n">
        <v>3051184</v>
      </c>
      <c r="F10" s="6" t="n">
        <v>3220519</v>
      </c>
      <c r="G10" s="6" t="n">
        <v>3254571</v>
      </c>
      <c r="H10" s="6" t="n">
        <v>3303553</v>
      </c>
      <c r="I10" s="6" t="n">
        <v>3291229</v>
      </c>
      <c r="J10" s="6" t="n">
        <v>3419210</v>
      </c>
      <c r="K10" s="6" t="n">
        <v>3458535</v>
      </c>
      <c r="L10" s="6" t="n">
        <v>3509096</v>
      </c>
      <c r="M10" s="6" t="n">
        <v>3555488</v>
      </c>
      <c r="N10" s="6" t="n">
        <v>3583071</v>
      </c>
      <c r="O10" s="6" t="n">
        <v>3631018</v>
      </c>
    </row>
    <row r="11" customFormat="false" ht="15" hidden="false" customHeight="false" outlineLevel="0" collapsed="false">
      <c r="A11" s="5" t="s">
        <v>23</v>
      </c>
      <c r="B11" s="2" t="s">
        <v>24</v>
      </c>
      <c r="C11" s="6" t="n">
        <v>1234345</v>
      </c>
      <c r="D11" s="6" t="n">
        <v>1243256</v>
      </c>
      <c r="E11" s="6" t="n">
        <v>1258572</v>
      </c>
      <c r="F11" s="6" t="n">
        <v>1301773</v>
      </c>
      <c r="G11" s="6" t="n">
        <v>1320819</v>
      </c>
      <c r="H11" s="6" t="n">
        <v>1345479</v>
      </c>
      <c r="I11" s="6" t="n">
        <v>1374517</v>
      </c>
      <c r="J11" s="6" t="n">
        <v>1377992</v>
      </c>
      <c r="K11" s="6" t="n">
        <v>1380468</v>
      </c>
      <c r="L11" s="6" t="n">
        <v>1435441</v>
      </c>
      <c r="M11" s="6" t="n">
        <v>1440163</v>
      </c>
      <c r="N11" s="6" t="n">
        <v>1453645</v>
      </c>
      <c r="O11" s="6" t="n">
        <v>1695593</v>
      </c>
    </row>
    <row r="12" customFormat="false" ht="15" hidden="false" customHeight="false" outlineLevel="0" collapsed="false">
      <c r="A12" s="5" t="s">
        <v>31</v>
      </c>
      <c r="B12" s="2" t="s">
        <v>32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118</v>
      </c>
      <c r="J12" s="6" t="n">
        <v>199</v>
      </c>
      <c r="K12" s="6" t="n">
        <v>285</v>
      </c>
      <c r="L12" s="6" t="n">
        <v>303</v>
      </c>
      <c r="M12" s="6" t="n">
        <v>311</v>
      </c>
      <c r="N12" s="6" t="n">
        <v>340</v>
      </c>
      <c r="O12" s="6" t="n">
        <v>344</v>
      </c>
    </row>
    <row r="13" customFormat="false" ht="15" hidden="false" customHeight="false" outlineLevel="0" collapsed="false">
      <c r="A13" s="5" t="s">
        <v>49</v>
      </c>
      <c r="B13" s="2" t="s">
        <v>50</v>
      </c>
      <c r="C13" s="6" t="n">
        <v>6</v>
      </c>
      <c r="D13" s="6" t="n">
        <v>5</v>
      </c>
      <c r="E13" s="6" t="n">
        <v>5</v>
      </c>
      <c r="F13" s="6" t="n">
        <v>5</v>
      </c>
      <c r="G13" s="6" t="n">
        <v>5</v>
      </c>
      <c r="H13" s="6" t="n">
        <v>5</v>
      </c>
      <c r="I13" s="6" t="n">
        <v>5</v>
      </c>
      <c r="J13" s="6" t="n">
        <v>5</v>
      </c>
      <c r="K13" s="6" t="n">
        <v>5</v>
      </c>
      <c r="L13" s="6" t="n">
        <v>5</v>
      </c>
      <c r="M13" s="6" t="n">
        <v>5</v>
      </c>
      <c r="N13" s="6" t="n">
        <v>5</v>
      </c>
      <c r="O13" s="6" t="n">
        <v>5</v>
      </c>
    </row>
    <row r="14" customFormat="false" ht="15" hidden="false" customHeight="false" outlineLevel="0" collapsed="false">
      <c r="A14" s="7" t="s">
        <v>39</v>
      </c>
      <c r="C14" s="8" t="n">
        <f aca="false">SUM(C5:C13)</f>
        <v>28859075</v>
      </c>
      <c r="D14" s="8" t="n">
        <f aca="false">SUM(D5:D13)</f>
        <v>29070340</v>
      </c>
      <c r="E14" s="8" t="n">
        <f aca="false">SUM(E5:E13)</f>
        <v>29412103</v>
      </c>
      <c r="F14" s="8" t="n">
        <f aca="false">SUM(F5:F13)</f>
        <v>29767100</v>
      </c>
      <c r="G14" s="8" t="n">
        <f aca="false">SUM(G5:G13)</f>
        <v>30267461</v>
      </c>
      <c r="H14" s="8" t="n">
        <f aca="false">SUM(H5:H13)</f>
        <v>30734804</v>
      </c>
      <c r="I14" s="8" t="n">
        <f aca="false">SUM(I5:I13)</f>
        <v>30828555</v>
      </c>
      <c r="J14" s="8" t="n">
        <f aca="false">SUM(J5:J13)</f>
        <v>31838834</v>
      </c>
      <c r="K14" s="8" t="n">
        <f aca="false">SUM(K5:K13)</f>
        <v>32394916</v>
      </c>
      <c r="L14" s="8" t="n">
        <f aca="false">SUM(L5:L13)</f>
        <v>33122777</v>
      </c>
      <c r="M14" s="8" t="n">
        <f aca="false">SUM(M5:M13)</f>
        <v>34044631</v>
      </c>
      <c r="N14" s="8" t="n">
        <f aca="false">SUM(N5:N13)</f>
        <v>35078944</v>
      </c>
      <c r="O14" s="8" t="n">
        <f aca="false">SUM(O5:O13)</f>
        <v>36095458</v>
      </c>
    </row>
    <row r="16" customFormat="false" ht="15" hidden="false" customHeight="false" outlineLevel="0" collapsed="false">
      <c r="A16" s="3" t="s">
        <v>40</v>
      </c>
      <c r="B16" s="3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10</v>
      </c>
      <c r="J16" s="4" t="s">
        <v>11</v>
      </c>
      <c r="K16" s="4" t="s">
        <v>12</v>
      </c>
      <c r="L16" s="4" t="s">
        <v>13</v>
      </c>
      <c r="M16" s="4" t="s">
        <v>14</v>
      </c>
      <c r="N16" s="4" t="s">
        <v>15</v>
      </c>
      <c r="O16" s="4" t="s">
        <v>16</v>
      </c>
    </row>
    <row r="17" customFormat="false" ht="15" hidden="false" customHeight="false" outlineLevel="0" collapsed="false">
      <c r="A17" s="5" t="str">
        <f aca="false">A5</f>
        <v>Vivo</v>
      </c>
      <c r="B17" s="2" t="str">
        <f aca="false">B5</f>
        <v>TELEFONICA</v>
      </c>
      <c r="C17" s="9" t="n">
        <f aca="false">IF(C$14=0,0,C5/C$14)</f>
        <v>0.279859454954811</v>
      </c>
      <c r="D17" s="9" t="n">
        <f aca="false">IF(D$14=0,0,D5/D$14)</f>
        <v>0.277113649169566</v>
      </c>
      <c r="E17" s="9" t="n">
        <f aca="false">IF(E$14=0,0,E5/E$14)</f>
        <v>0.277870677931462</v>
      </c>
      <c r="F17" s="9" t="n">
        <f aca="false">IF(F$14=0,0,F5/F$14)</f>
        <v>0.272681819861525</v>
      </c>
      <c r="G17" s="9" t="n">
        <f aca="false">IF(G$14=0,0,G5/G$14)</f>
        <v>0.270202049653256</v>
      </c>
      <c r="H17" s="9" t="n">
        <f aca="false">IF(H$14=0,0,H5/H$14)</f>
        <v>0.271010187668677</v>
      </c>
      <c r="I17" s="9" t="n">
        <f aca="false">IF(I$14=0,0,I5/I$14)</f>
        <v>0.270790051625838</v>
      </c>
      <c r="J17" s="9" t="n">
        <f aca="false">IF(J$14=0,0,J5/J$14)</f>
        <v>0.271343950598191</v>
      </c>
      <c r="K17" s="9" t="n">
        <f aca="false">IF(K$14=0,0,K5/K$14)</f>
        <v>0.275752682920987</v>
      </c>
      <c r="L17" s="9" t="n">
        <f aca="false">IF(L$14=0,0,L5/L$14)</f>
        <v>0.272367470879631</v>
      </c>
      <c r="M17" s="9" t="n">
        <f aca="false">IF(M$14=0,0,M5/M$14)</f>
        <v>0.270767276050077</v>
      </c>
      <c r="N17" s="9" t="n">
        <f aca="false">IF(N$14=0,0,N5/N$14)</f>
        <v>0.269807751339379</v>
      </c>
      <c r="O17" s="9" t="n">
        <f aca="false">IF(O$14=0,0,O5/O$14)</f>
        <v>0.265386520376054</v>
      </c>
    </row>
    <row r="18" customFormat="false" ht="15" hidden="false" customHeight="false" outlineLevel="0" collapsed="false">
      <c r="A18" s="5" t="str">
        <f aca="false">A6</f>
        <v>Claro</v>
      </c>
      <c r="B18" s="2" t="str">
        <f aca="false">B6</f>
        <v>TELECOM AMERICAS</v>
      </c>
      <c r="C18" s="9" t="n">
        <f aca="false">IF(C$14=0,0,C6/C$14)</f>
        <v>0.26138686011246</v>
      </c>
      <c r="D18" s="9" t="n">
        <f aca="false">IF(D$14=0,0,D6/D$14)</f>
        <v>0.260313708061206</v>
      </c>
      <c r="E18" s="9" t="n">
        <f aca="false">IF(E$14=0,0,E6/E$14)</f>
        <v>0.26075843675646</v>
      </c>
      <c r="F18" s="9" t="n">
        <f aca="false">IF(F$14=0,0,F6/F$14)</f>
        <v>0.260928004407551</v>
      </c>
      <c r="G18" s="9" t="n">
        <f aca="false">IF(G$14=0,0,G6/G$14)</f>
        <v>0.258629060428954</v>
      </c>
      <c r="H18" s="9" t="n">
        <f aca="false">IF(H$14=0,0,H6/H$14)</f>
        <v>0.257915423830261</v>
      </c>
      <c r="I18" s="9" t="n">
        <f aca="false">IF(I$14=0,0,I6/I$14)</f>
        <v>0.256406633395565</v>
      </c>
      <c r="J18" s="9" t="n">
        <f aca="false">IF(J$14=0,0,J6/J$14)</f>
        <v>0.250637444826026</v>
      </c>
      <c r="K18" s="9" t="n">
        <f aca="false">IF(K$14=0,0,K6/K$14)</f>
        <v>0.24864145349227</v>
      </c>
      <c r="L18" s="9" t="n">
        <f aca="false">IF(L$14=0,0,L6/L$14)</f>
        <v>0.243685425289069</v>
      </c>
      <c r="M18" s="9" t="n">
        <f aca="false">IF(M$14=0,0,M6/M$14)</f>
        <v>0.243172998409059</v>
      </c>
      <c r="N18" s="9" t="n">
        <f aca="false">IF(N$14=0,0,N6/N$14)</f>
        <v>0.239261706395723</v>
      </c>
      <c r="O18" s="9" t="n">
        <f aca="false">IF(O$14=0,0,O6/O$14)</f>
        <v>0.236955657966717</v>
      </c>
    </row>
    <row r="19" customFormat="false" ht="15" hidden="false" customHeight="false" outlineLevel="0" collapsed="false">
      <c r="A19" s="5" t="str">
        <f aca="false">A7</f>
        <v>Datora</v>
      </c>
      <c r="B19" s="2" t="str">
        <f aca="false">B7</f>
        <v>DATORA</v>
      </c>
      <c r="C19" s="9" t="n">
        <f aca="false">IF(C$14=0,0,C7/C$14)</f>
        <v>0.105635333079802</v>
      </c>
      <c r="D19" s="9" t="n">
        <f aca="false">IF(D$14=0,0,D7/D$14)</f>
        <v>0.108373861468425</v>
      </c>
      <c r="E19" s="9" t="n">
        <f aca="false">IF(E$14=0,0,E7/E$14)</f>
        <v>0.110655943235341</v>
      </c>
      <c r="F19" s="9" t="n">
        <f aca="false">IF(F$14=0,0,F7/F$14)</f>
        <v>0.112863664918652</v>
      </c>
      <c r="G19" s="9" t="n">
        <f aca="false">IF(G$14=0,0,G7/G$14)</f>
        <v>0.115061649868815</v>
      </c>
      <c r="H19" s="9" t="n">
        <f aca="false">IF(H$14=0,0,H7/H$14)</f>
        <v>0.115003954474543</v>
      </c>
      <c r="I19" s="9" t="n">
        <f aca="false">IF(I$14=0,0,I7/I$14)</f>
        <v>0.115692221059339</v>
      </c>
      <c r="J19" s="9" t="n">
        <f aca="false">IF(J$14=0,0,J7/J$14)</f>
        <v>0.113299029732056</v>
      </c>
      <c r="K19" s="9" t="n">
        <f aca="false">IF(K$14=0,0,K7/K$14)</f>
        <v>0.114456663508558</v>
      </c>
      <c r="L19" s="9" t="n">
        <f aca="false">IF(L$14=0,0,L7/L$14)</f>
        <v>0.114628492653258</v>
      </c>
      <c r="M19" s="9" t="n">
        <f aca="false">IF(M$14=0,0,M7/M$14)</f>
        <v>0.119168599595043</v>
      </c>
      <c r="N19" s="9" t="n">
        <f aca="false">IF(N$14=0,0,N7/N$14)</f>
        <v>0.130388845228636</v>
      </c>
      <c r="O19" s="9" t="n">
        <f aca="false">IF(O$14=0,0,O7/O$14)</f>
        <v>0.133962699683711</v>
      </c>
    </row>
    <row r="20" customFormat="false" ht="15" hidden="false" customHeight="false" outlineLevel="0" collapsed="false">
      <c r="A20" s="5" t="str">
        <f aca="false">A8</f>
        <v>TIM</v>
      </c>
      <c r="B20" s="2" t="str">
        <f aca="false">B8</f>
        <v>TELECOM ITALIA</v>
      </c>
      <c r="C20" s="9" t="n">
        <f aca="false">IF(C$14=0,0,C8/C$14)</f>
        <v>0.121299279342806</v>
      </c>
      <c r="D20" s="9" t="n">
        <f aca="false">IF(D$14=0,0,D8/D$14)</f>
        <v>0.120378124232465</v>
      </c>
      <c r="E20" s="9" t="n">
        <f aca="false">IF(E$14=0,0,E8/E$14)</f>
        <v>0.118432163793252</v>
      </c>
      <c r="F20" s="9" t="n">
        <f aca="false">IF(F$14=0,0,F8/F$14)</f>
        <v>0.115350538010085</v>
      </c>
      <c r="G20" s="9" t="n">
        <f aca="false">IF(G$14=0,0,G8/G$14)</f>
        <v>0.116927977539973</v>
      </c>
      <c r="H20" s="9" t="n">
        <f aca="false">IF(H$14=0,0,H8/H$14)</f>
        <v>0.118188910526321</v>
      </c>
      <c r="I20" s="9" t="n">
        <f aca="false">IF(I$14=0,0,I8/I$14)</f>
        <v>0.118505229972667</v>
      </c>
      <c r="J20" s="9" t="n">
        <f aca="false">IF(J$14=0,0,J8/J$14)</f>
        <v>0.116220116603516</v>
      </c>
      <c r="K20" s="9" t="n">
        <f aca="false">IF(K$14=0,0,K8/K$14)</f>
        <v>0.115481299596517</v>
      </c>
      <c r="L20" s="9" t="n">
        <f aca="false">IF(L$14=0,0,L8/L$14)</f>
        <v>0.115917182910117</v>
      </c>
      <c r="M20" s="9" t="n">
        <f aca="false">IF(M$14=0,0,M8/M$14)</f>
        <v>0.11552379580792</v>
      </c>
      <c r="N20" s="9" t="n">
        <f aca="false">IF(N$14=0,0,N8/N$14)</f>
        <v>0.113122675528659</v>
      </c>
      <c r="O20" s="9" t="n">
        <f aca="false">IF(O$14=0,0,O8/O$14)</f>
        <v>0.114417498179411</v>
      </c>
    </row>
    <row r="21" customFormat="false" ht="15" hidden="false" customHeight="false" outlineLevel="0" collapsed="false">
      <c r="A21" s="5" t="str">
        <f aca="false">A9</f>
        <v>Outros</v>
      </c>
      <c r="B21" s="2" t="str">
        <f aca="false">B9</f>
        <v>OUTROS</v>
      </c>
      <c r="C21" s="9" t="n">
        <f aca="false">IF(C$14=0,0,C9/C$14)</f>
        <v>0.0830452465992067</v>
      </c>
      <c r="D21" s="9" t="n">
        <f aca="false">IF(D$14=0,0,D9/D$14)</f>
        <v>0.0860141642650206</v>
      </c>
      <c r="E21" s="9" t="n">
        <f aca="false">IF(E$14=0,0,E9/E$14)</f>
        <v>0.0857525896737136</v>
      </c>
      <c r="F21" s="9" t="n">
        <f aca="false">IF(F$14=0,0,F9/F$14)</f>
        <v>0.086253313221644</v>
      </c>
      <c r="G21" s="9" t="n">
        <f aca="false">IF(G$14=0,0,G9/G$14)</f>
        <v>0.0880137914442179</v>
      </c>
      <c r="H21" s="9" t="n">
        <f aca="false">IF(H$14=0,0,H9/H$14)</f>
        <v>0.0866185774277266</v>
      </c>
      <c r="I21" s="9" t="n">
        <f aca="false">IF(I$14=0,0,I9/I$14)</f>
        <v>0.0872569278709301</v>
      </c>
      <c r="J21" s="9" t="n">
        <f aca="false">IF(J$14=0,0,J9/J$14)</f>
        <v>0.0978216413327197</v>
      </c>
      <c r="K21" s="9" t="n">
        <f aca="false">IF(K$14=0,0,K9/K$14)</f>
        <v>0.0962835649890248</v>
      </c>
      <c r="L21" s="9" t="n">
        <f aca="false">IF(L$14=0,0,L9/L$14)</f>
        <v>0.104113069988063</v>
      </c>
      <c r="M21" s="9" t="n">
        <f aca="false">IF(M$14=0,0,M9/M$14)</f>
        <v>0.104619756342784</v>
      </c>
      <c r="N21" s="9" t="n">
        <f aca="false">IF(N$14=0,0,N9/N$14)</f>
        <v>0.103826871185176</v>
      </c>
      <c r="O21" s="9" t="n">
        <f aca="false">IF(O$14=0,0,O9/O$14)</f>
        <v>0.101697836885738</v>
      </c>
    </row>
    <row r="22" customFormat="false" ht="15" hidden="false" customHeight="false" outlineLevel="0" collapsed="false">
      <c r="A22" s="5" t="str">
        <f aca="false">A10</f>
        <v>Algar</v>
      </c>
      <c r="B22" s="2" t="str">
        <f aca="false">B10</f>
        <v>ALGAR (CTBC TELECOM)</v>
      </c>
      <c r="C22" s="9" t="n">
        <f aca="false">IF(C$14=0,0,C10/C$14)</f>
        <v>0.106002150103564</v>
      </c>
      <c r="D22" s="9" t="n">
        <f aca="false">IF(D$14=0,0,D10/D$14)</f>
        <v>0.105039156748769</v>
      </c>
      <c r="E22" s="9" t="n">
        <f aca="false">IF(E$14=0,0,E10/E$14)</f>
        <v>0.1037390627933</v>
      </c>
      <c r="F22" s="9" t="n">
        <f aca="false">IF(F$14=0,0,F10/F$14)</f>
        <v>0.108190552657128</v>
      </c>
      <c r="G22" s="9" t="n">
        <f aca="false">IF(G$14=0,0,G10/G$14)</f>
        <v>0.107527056861492</v>
      </c>
      <c r="H22" s="9" t="n">
        <f aca="false">IF(H$14=0,0,H10/H$14)</f>
        <v>0.107485735064391</v>
      </c>
      <c r="I22" s="9" t="n">
        <f aca="false">IF(I$14=0,0,I10/I$14)</f>
        <v>0.106759106938356</v>
      </c>
      <c r="J22" s="9" t="n">
        <f aca="false">IF(J$14=0,0,J10/J$14)</f>
        <v>0.107391181473543</v>
      </c>
      <c r="K22" s="9" t="n">
        <f aca="false">IF(K$14=0,0,K10/K$14)</f>
        <v>0.106761659761674</v>
      </c>
      <c r="L22" s="9" t="n">
        <f aca="false">IF(L$14=0,0,L10/L$14)</f>
        <v>0.105942083298149</v>
      </c>
      <c r="M22" s="9" t="n">
        <f aca="false">IF(M$14=0,0,M10/M$14)</f>
        <v>0.104436085678238</v>
      </c>
      <c r="N22" s="9" t="n">
        <f aca="false">IF(N$14=0,0,N10/N$14)</f>
        <v>0.102143069073003</v>
      </c>
      <c r="O22" s="9" t="n">
        <f aca="false">IF(O$14=0,0,O10/O$14)</f>
        <v>0.100594872629127</v>
      </c>
    </row>
    <row r="23" customFormat="false" ht="15" hidden="false" customHeight="false" outlineLevel="0" collapsed="false">
      <c r="A23" s="5" t="str">
        <f aca="false">A11</f>
        <v>Surf Telecom</v>
      </c>
      <c r="B23" s="2" t="str">
        <f aca="false">B11</f>
        <v>SURF TELECOM</v>
      </c>
      <c r="C23" s="9" t="n">
        <f aca="false">IF(C$14=0,0,C11/C$14)</f>
        <v>0.0427714679004784</v>
      </c>
      <c r="D23" s="9" t="n">
        <f aca="false">IF(D$14=0,0,D11/D$14)</f>
        <v>0.0427671640579367</v>
      </c>
      <c r="E23" s="9" t="n">
        <f aca="false">IF(E$14=0,0,E11/E$14)</f>
        <v>0.0427909558184262</v>
      </c>
      <c r="F23" s="9" t="n">
        <f aca="false">IF(F$14=0,0,F11/F$14)</f>
        <v>0.0437319389527364</v>
      </c>
      <c r="G23" s="9" t="n">
        <f aca="false">IF(G$14=0,0,G11/G$14)</f>
        <v>0.04363824900939</v>
      </c>
      <c r="H23" s="9" t="n">
        <f aca="false">IF(H$14=0,0,H11/H$14)</f>
        <v>0.0437770483260606</v>
      </c>
      <c r="I23" s="9" t="n">
        <f aca="false">IF(I$14=0,0,I11/I$14)</f>
        <v>0.0445858393298032</v>
      </c>
      <c r="J23" s="9" t="n">
        <f aca="false">IF(J$14=0,0,J11/J$14)</f>
        <v>0.0432802281641344</v>
      </c>
      <c r="K23" s="9" t="n">
        <f aca="false">IF(K$14=0,0,K11/K$14)</f>
        <v>0.0426137237089919</v>
      </c>
      <c r="L23" s="9" t="n">
        <f aca="false">IF(L$14=0,0,L11/L$14)</f>
        <v>0.0433369762444737</v>
      </c>
      <c r="M23" s="9" t="n">
        <f aca="false">IF(M$14=0,0,M11/M$14)</f>
        <v>0.0423022061834067</v>
      </c>
      <c r="N23" s="9" t="n">
        <f aca="false">IF(N$14=0,0,N11/N$14)</f>
        <v>0.0414392462897401</v>
      </c>
      <c r="O23" s="9" t="n">
        <f aca="false">IF(O$14=0,0,O11/O$14)</f>
        <v>0.0469752454727129</v>
      </c>
    </row>
    <row r="24" customFormat="false" ht="15" hidden="false" customHeight="false" outlineLevel="0" collapsed="false">
      <c r="A24" s="5" t="str">
        <f aca="false">A12</f>
        <v>Unifique</v>
      </c>
      <c r="B24" s="2" t="str">
        <f aca="false">B12</f>
        <v>UNIFIQUE</v>
      </c>
      <c r="C24" s="9" t="n">
        <f aca="false">IF(C$14=0,0,C12/C$14)</f>
        <v>0</v>
      </c>
      <c r="D24" s="9" t="n">
        <f aca="false">IF(D$14=0,0,D12/D$14)</f>
        <v>0</v>
      </c>
      <c r="E24" s="9" t="n">
        <f aca="false">IF(E$14=0,0,E12/E$14)</f>
        <v>0</v>
      </c>
      <c r="F24" s="9" t="n">
        <f aca="false">IF(F$14=0,0,F12/F$14)</f>
        <v>0</v>
      </c>
      <c r="G24" s="9" t="n">
        <f aca="false">IF(G$14=0,0,G12/G$14)</f>
        <v>0</v>
      </c>
      <c r="H24" s="9" t="n">
        <f aca="false">IF(H$14=0,0,H12/H$14)</f>
        <v>0</v>
      </c>
      <c r="I24" s="9" t="n">
        <f aca="false">IF(I$14=0,0,I12/I$14)</f>
        <v>3.82762020470956E-006</v>
      </c>
      <c r="J24" s="9" t="n">
        <f aca="false">IF(J$14=0,0,J12/J$14)</f>
        <v>6.25022888715083E-006</v>
      </c>
      <c r="K24" s="9" t="n">
        <f aca="false">IF(K$14=0,0,K12/K$14)</f>
        <v>8.79767677125633E-006</v>
      </c>
      <c r="L24" s="9" t="n">
        <f aca="false">IF(L$14=0,0,L12/L$14)</f>
        <v>9.1477837139078E-006</v>
      </c>
      <c r="M24" s="9" t="n">
        <f aca="false">IF(M$14=0,0,M12/M$14)</f>
        <v>9.13506743544966E-006</v>
      </c>
      <c r="N24" s="9" t="n">
        <f aca="false">IF(N$14=0,0,N12/N$14)</f>
        <v>9.69242403648183E-006</v>
      </c>
      <c r="O24" s="9" t="n">
        <f aca="false">IF(O$14=0,0,O12/O$14)</f>
        <v>9.53028494610042E-006</v>
      </c>
    </row>
    <row r="25" customFormat="false" ht="15" hidden="false" customHeight="false" outlineLevel="0" collapsed="false">
      <c r="A25" s="5" t="str">
        <f aca="false">A13</f>
        <v>Ligga Telecom</v>
      </c>
      <c r="B25" s="2" t="str">
        <f aca="false">B13</f>
        <v>LIGGA TELECOM</v>
      </c>
      <c r="C25" s="9" t="n">
        <f aca="false">IF(C$14=0,0,C13/C$14)</f>
        <v>2.07906871581989E-007</v>
      </c>
      <c r="D25" s="9" t="n">
        <f aca="false">IF(D$14=0,0,D13/D$14)</f>
        <v>1.71996612354723E-007</v>
      </c>
      <c r="E25" s="9" t="n">
        <f aca="false">IF(E$14=0,0,E13/E$14)</f>
        <v>1.6999804468249E-007</v>
      </c>
      <c r="F25" s="9" t="n">
        <f aca="false">IF(F$14=0,0,F13/F$14)</f>
        <v>1.67970679038267E-007</v>
      </c>
      <c r="G25" s="9" t="n">
        <f aca="false">IF(G$14=0,0,G13/G$14)</f>
        <v>1.65193902455181E-007</v>
      </c>
      <c r="H25" s="9" t="n">
        <f aca="false">IF(H$14=0,0,H13/H$14)</f>
        <v>1.62682020031753E-007</v>
      </c>
      <c r="I25" s="9" t="n">
        <f aca="false">IF(I$14=0,0,I13/I$14)</f>
        <v>1.62187296809727E-007</v>
      </c>
      <c r="J25" s="9" t="n">
        <f aca="false">IF(J$14=0,0,J13/J$14)</f>
        <v>1.57040926812835E-007</v>
      </c>
      <c r="K25" s="9" t="n">
        <f aca="false">IF(K$14=0,0,K13/K$14)</f>
        <v>1.54345206513269E-007</v>
      </c>
      <c r="L25" s="9" t="n">
        <f aca="false">IF(L$14=0,0,L13/L$14)</f>
        <v>1.50953526632142E-007</v>
      </c>
      <c r="M25" s="9" t="n">
        <f aca="false">IF(M$14=0,0,M13/M$14)</f>
        <v>1.46866035939705E-007</v>
      </c>
      <c r="N25" s="9" t="n">
        <f aca="false">IF(N$14=0,0,N13/N$14)</f>
        <v>1.42535647595321E-007</v>
      </c>
      <c r="O25" s="9" t="n">
        <f aca="false">IF(O$14=0,0,O13/O$14)</f>
        <v>1.38521583518901E-007</v>
      </c>
    </row>
    <row r="26" customFormat="false" ht="15" hidden="false" customHeight="false" outlineLevel="0" collapsed="false">
      <c r="A26" s="7" t="str">
        <f aca="false">A14</f>
        <v>Total</v>
      </c>
      <c r="C26" s="10" t="n">
        <f aca="false">IF(C$14=0,0,C14/C$14)</f>
        <v>1</v>
      </c>
      <c r="D26" s="10" t="n">
        <f aca="false">IF(D$14=0,0,D14/D$14)</f>
        <v>1</v>
      </c>
      <c r="E26" s="10" t="n">
        <f aca="false">IF(E$14=0,0,E14/E$14)</f>
        <v>1</v>
      </c>
      <c r="F26" s="10" t="n">
        <f aca="false">IF(F$14=0,0,F14/F$14)</f>
        <v>1</v>
      </c>
      <c r="G26" s="10" t="n">
        <f aca="false">IF(G$14=0,0,G14/G$14)</f>
        <v>1</v>
      </c>
      <c r="H26" s="10" t="n">
        <f aca="false">IF(H$14=0,0,H14/H$14)</f>
        <v>1</v>
      </c>
      <c r="I26" s="10" t="n">
        <f aca="false">IF(I$14=0,0,I14/I$14)</f>
        <v>1</v>
      </c>
      <c r="J26" s="10" t="n">
        <f aca="false">IF(J$14=0,0,J14/J$14)</f>
        <v>1</v>
      </c>
      <c r="K26" s="10" t="n">
        <f aca="false">IF(K$14=0,0,K14/K$14)</f>
        <v>1</v>
      </c>
      <c r="L26" s="10" t="n">
        <f aca="false">IF(L$14=0,0,L14/L$14)</f>
        <v>1</v>
      </c>
      <c r="M26" s="10" t="n">
        <f aca="false">IF(M$14=0,0,M14/M$14)</f>
        <v>1</v>
      </c>
      <c r="N26" s="10" t="n">
        <f aca="false">IF(N$14=0,0,N14/N$14)</f>
        <v>1</v>
      </c>
      <c r="O26" s="10" t="n">
        <f aca="false">IF(O$14=0,0,O14/O$14)</f>
        <v>1</v>
      </c>
    </row>
    <row r="28" customFormat="false" ht="15" hidden="false" customHeight="false" outlineLevel="0" collapsed="false">
      <c r="A28" s="3" t="s">
        <v>41</v>
      </c>
      <c r="B28" s="3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  <c r="I28" s="4" t="s">
        <v>10</v>
      </c>
      <c r="J28" s="4" t="s">
        <v>11</v>
      </c>
      <c r="K28" s="4" t="s">
        <v>12</v>
      </c>
      <c r="L28" s="4" t="s">
        <v>13</v>
      </c>
      <c r="M28" s="4" t="s">
        <v>14</v>
      </c>
      <c r="N28" s="4" t="s">
        <v>15</v>
      </c>
      <c r="O28" s="4" t="s">
        <v>16</v>
      </c>
    </row>
    <row r="29" customFormat="false" ht="15" hidden="false" customHeight="false" outlineLevel="0" collapsed="false">
      <c r="A29" s="5" t="str">
        <f aca="false">A5</f>
        <v>Vivo</v>
      </c>
      <c r="B29" s="2" t="str">
        <f aca="false">B5</f>
        <v>TELEFONICA</v>
      </c>
      <c r="D29" s="11" t="n">
        <f aca="false">D5-C5</f>
        <v>-20697</v>
      </c>
      <c r="E29" s="11" t="n">
        <f aca="false">E5-D5</f>
        <v>116973</v>
      </c>
      <c r="F29" s="11" t="n">
        <f aca="false">F5-E5</f>
        <v>-55814</v>
      </c>
      <c r="G29" s="11" t="n">
        <f aca="false">G5-F5</f>
        <v>61383</v>
      </c>
      <c r="H29" s="11" t="n">
        <f aca="false">H5-G5</f>
        <v>151115</v>
      </c>
      <c r="I29" s="11" t="n">
        <f aca="false">I5-H5</f>
        <v>18621</v>
      </c>
      <c r="J29" s="11" t="n">
        <f aca="false">J5-I5</f>
        <v>291209</v>
      </c>
      <c r="K29" s="11" t="n">
        <f aca="false">K5-J5</f>
        <v>293710</v>
      </c>
      <c r="L29" s="11" t="n">
        <f aca="false">L5-K5</f>
        <v>88582</v>
      </c>
      <c r="M29" s="11" t="n">
        <f aca="false">M5-L5</f>
        <v>196605</v>
      </c>
      <c r="N29" s="11" t="n">
        <f aca="false">N5-M5</f>
        <v>246399</v>
      </c>
      <c r="O29" s="11" t="n">
        <f aca="false">O5-N5</f>
        <v>114677</v>
      </c>
    </row>
    <row r="30" customFormat="false" ht="15" hidden="false" customHeight="false" outlineLevel="0" collapsed="false">
      <c r="A30" s="5" t="str">
        <f aca="false">A6</f>
        <v>Claro</v>
      </c>
      <c r="B30" s="2" t="str">
        <f aca="false">B6</f>
        <v>TELECOM AMERICAS</v>
      </c>
      <c r="D30" s="11" t="n">
        <f aca="false">D6-C6</f>
        <v>24025</v>
      </c>
      <c r="E30" s="11" t="n">
        <f aca="false">E6-D6</f>
        <v>102046</v>
      </c>
      <c r="F30" s="11" t="n">
        <f aca="false">F6-E6</f>
        <v>97616</v>
      </c>
      <c r="G30" s="11" t="n">
        <f aca="false">G6-F6</f>
        <v>60975</v>
      </c>
      <c r="H30" s="11" t="n">
        <f aca="false">H6-G6</f>
        <v>98935</v>
      </c>
      <c r="I30" s="11" t="n">
        <f aca="false">I6-H6</f>
        <v>-22334</v>
      </c>
      <c r="J30" s="11" t="n">
        <f aca="false">J6-I6</f>
        <v>75358</v>
      </c>
      <c r="K30" s="11" t="n">
        <f aca="false">K6-J6</f>
        <v>74715</v>
      </c>
      <c r="L30" s="11" t="n">
        <f aca="false">L6-K6</f>
        <v>16819</v>
      </c>
      <c r="M30" s="11" t="n">
        <f aca="false">M6-L6</f>
        <v>207197</v>
      </c>
      <c r="N30" s="11" t="n">
        <f aca="false">N6-M6</f>
        <v>114313</v>
      </c>
      <c r="O30" s="11" t="n">
        <f aca="false">O6-N6</f>
        <v>159975</v>
      </c>
    </row>
    <row r="31" customFormat="false" ht="15" hidden="false" customHeight="false" outlineLevel="0" collapsed="false">
      <c r="A31" s="5" t="str">
        <f aca="false">A7</f>
        <v>Datora</v>
      </c>
      <c r="B31" s="2" t="str">
        <f aca="false">B7</f>
        <v>DATORA</v>
      </c>
      <c r="D31" s="11" t="n">
        <f aca="false">D7-C7</f>
        <v>101927</v>
      </c>
      <c r="E31" s="11" t="n">
        <f aca="false">E7-D7</f>
        <v>104159</v>
      </c>
      <c r="F31" s="11" t="n">
        <f aca="false">F7-E7</f>
        <v>105000</v>
      </c>
      <c r="G31" s="11" t="n">
        <f aca="false">G7-F7</f>
        <v>123000</v>
      </c>
      <c r="H31" s="11" t="n">
        <f aca="false">H7-G7</f>
        <v>52000</v>
      </c>
      <c r="I31" s="11" t="n">
        <f aca="false">I7-H7</f>
        <v>32000</v>
      </c>
      <c r="J31" s="11" t="n">
        <f aca="false">J7-I7</f>
        <v>40685</v>
      </c>
      <c r="K31" s="11" t="n">
        <f aca="false">K7-J7</f>
        <v>100505</v>
      </c>
      <c r="L31" s="11" t="n">
        <f aca="false">L7-K7</f>
        <v>89000</v>
      </c>
      <c r="M31" s="11" t="n">
        <f aca="false">M7-L7</f>
        <v>260237</v>
      </c>
      <c r="N31" s="11" t="n">
        <f aca="false">N7-M7</f>
        <v>516852</v>
      </c>
      <c r="O31" s="11" t="n">
        <f aca="false">O7-N7</f>
        <v>261542</v>
      </c>
    </row>
    <row r="32" customFormat="false" ht="15" hidden="false" customHeight="false" outlineLevel="0" collapsed="false">
      <c r="A32" s="5" t="str">
        <f aca="false">A8</f>
        <v>TIM</v>
      </c>
      <c r="B32" s="2" t="str">
        <f aca="false">B8</f>
        <v>TELECOM ITALIA</v>
      </c>
      <c r="D32" s="11" t="n">
        <f aca="false">D8-C8</f>
        <v>-1152</v>
      </c>
      <c r="E32" s="11" t="n">
        <f aca="false">E8-D8</f>
        <v>-16094</v>
      </c>
      <c r="F32" s="11" t="n">
        <f aca="false">F8-E8</f>
        <v>-49688</v>
      </c>
      <c r="G32" s="11" t="n">
        <f aca="false">G8-F8</f>
        <v>105462</v>
      </c>
      <c r="H32" s="11" t="n">
        <f aca="false">H8-G8</f>
        <v>93400</v>
      </c>
      <c r="I32" s="11" t="n">
        <f aca="false">I8-H8</f>
        <v>20832</v>
      </c>
      <c r="J32" s="11" t="n">
        <f aca="false">J8-I8</f>
        <v>46968</v>
      </c>
      <c r="K32" s="11" t="n">
        <f aca="false">K8-J8</f>
        <v>40694</v>
      </c>
      <c r="L32" s="11" t="n">
        <f aca="false">L8-K8</f>
        <v>98492</v>
      </c>
      <c r="M32" s="11" t="n">
        <f aca="false">M8-L8</f>
        <v>93466</v>
      </c>
      <c r="N32" s="11" t="n">
        <f aca="false">N8-M8</f>
        <v>35259</v>
      </c>
      <c r="O32" s="11" t="n">
        <f aca="false">O8-N8</f>
        <v>161728</v>
      </c>
    </row>
    <row r="33" customFormat="false" ht="15" hidden="false" customHeight="false" outlineLevel="0" collapsed="false">
      <c r="A33" s="5" t="str">
        <f aca="false">A9</f>
        <v>Outros</v>
      </c>
      <c r="B33" s="2" t="str">
        <f aca="false">B9</f>
        <v>OUTROS</v>
      </c>
      <c r="D33" s="11" t="n">
        <f aca="false">D9-C9</f>
        <v>103852</v>
      </c>
      <c r="E33" s="11" t="n">
        <f aca="false">E9-D9</f>
        <v>21703</v>
      </c>
      <c r="F33" s="11" t="n">
        <f aca="false">F9-E9</f>
        <v>45347</v>
      </c>
      <c r="G33" s="11" t="n">
        <f aca="false">G9-F9</f>
        <v>96443</v>
      </c>
      <c r="H33" s="11" t="n">
        <f aca="false">H9-G9</f>
        <v>-1749</v>
      </c>
      <c r="I33" s="11" t="n">
        <f aca="false">I9-H9</f>
        <v>27800</v>
      </c>
      <c r="J33" s="11" t="n">
        <f aca="false">J9-I9</f>
        <v>424522</v>
      </c>
      <c r="K33" s="11" t="n">
        <f aca="false">K9-J9</f>
        <v>4571</v>
      </c>
      <c r="L33" s="11" t="n">
        <f aca="false">L9-K9</f>
        <v>329416</v>
      </c>
      <c r="M33" s="11" t="n">
        <f aca="false">M9-L9</f>
        <v>113227</v>
      </c>
      <c r="N33" s="11" t="n">
        <f aca="false">N9-M9</f>
        <v>80396</v>
      </c>
      <c r="O33" s="11" t="n">
        <f aca="false">O9-N9</f>
        <v>28693</v>
      </c>
    </row>
    <row r="34" customFormat="false" ht="15" hidden="false" customHeight="false" outlineLevel="0" collapsed="false">
      <c r="A34" s="5" t="str">
        <f aca="false">A10</f>
        <v>Algar</v>
      </c>
      <c r="B34" s="2" t="str">
        <f aca="false">B10</f>
        <v>ALGAR (CTBC TELECOM)</v>
      </c>
      <c r="D34" s="11" t="n">
        <f aca="false">D10-C10</f>
        <v>-5600</v>
      </c>
      <c r="E34" s="11" t="n">
        <f aca="false">E10-D10</f>
        <v>-2340</v>
      </c>
      <c r="F34" s="11" t="n">
        <f aca="false">F10-E10</f>
        <v>169335</v>
      </c>
      <c r="G34" s="11" t="n">
        <f aca="false">G10-F10</f>
        <v>34052</v>
      </c>
      <c r="H34" s="11" t="n">
        <f aca="false">H10-G10</f>
        <v>48982</v>
      </c>
      <c r="I34" s="11" t="n">
        <f aca="false">I10-H10</f>
        <v>-12324</v>
      </c>
      <c r="J34" s="11" t="n">
        <f aca="false">J10-I10</f>
        <v>127981</v>
      </c>
      <c r="K34" s="11" t="n">
        <f aca="false">K10-J10</f>
        <v>39325</v>
      </c>
      <c r="L34" s="11" t="n">
        <f aca="false">L10-K10</f>
        <v>50561</v>
      </c>
      <c r="M34" s="11" t="n">
        <f aca="false">M10-L10</f>
        <v>46392</v>
      </c>
      <c r="N34" s="11" t="n">
        <f aca="false">N10-M10</f>
        <v>27583</v>
      </c>
      <c r="O34" s="11" t="n">
        <f aca="false">O10-N10</f>
        <v>47947</v>
      </c>
    </row>
    <row r="35" customFormat="false" ht="15" hidden="false" customHeight="false" outlineLevel="0" collapsed="false">
      <c r="A35" s="5" t="str">
        <f aca="false">A11</f>
        <v>Surf Telecom</v>
      </c>
      <c r="B35" s="2" t="str">
        <f aca="false">B11</f>
        <v>SURF TELECOM</v>
      </c>
      <c r="D35" s="11" t="n">
        <f aca="false">D11-C11</f>
        <v>8911</v>
      </c>
      <c r="E35" s="11" t="n">
        <f aca="false">E11-D11</f>
        <v>15316</v>
      </c>
      <c r="F35" s="11" t="n">
        <f aca="false">F11-E11</f>
        <v>43201</v>
      </c>
      <c r="G35" s="11" t="n">
        <f aca="false">G11-F11</f>
        <v>19046</v>
      </c>
      <c r="H35" s="11" t="n">
        <f aca="false">H11-G11</f>
        <v>24660</v>
      </c>
      <c r="I35" s="11" t="n">
        <f aca="false">I11-H11</f>
        <v>29038</v>
      </c>
      <c r="J35" s="11" t="n">
        <f aca="false">J11-I11</f>
        <v>3475</v>
      </c>
      <c r="K35" s="11" t="n">
        <f aca="false">K11-J11</f>
        <v>2476</v>
      </c>
      <c r="L35" s="11" t="n">
        <f aca="false">L11-K11</f>
        <v>54973</v>
      </c>
      <c r="M35" s="11" t="n">
        <f aca="false">M11-L11</f>
        <v>4722</v>
      </c>
      <c r="N35" s="11" t="n">
        <f aca="false">N11-M11</f>
        <v>13482</v>
      </c>
      <c r="O35" s="11" t="n">
        <f aca="false">O11-N11</f>
        <v>241948</v>
      </c>
    </row>
    <row r="36" customFormat="false" ht="15" hidden="false" customHeight="false" outlineLevel="0" collapsed="false">
      <c r="A36" s="5" t="str">
        <f aca="false">A12</f>
        <v>Unifique</v>
      </c>
      <c r="B36" s="2" t="str">
        <f aca="false">B12</f>
        <v>UNIFIQUE</v>
      </c>
      <c r="D36" s="11" t="n">
        <f aca="false">D12-C12</f>
        <v>0</v>
      </c>
      <c r="E36" s="11" t="n">
        <f aca="false">E12-D12</f>
        <v>0</v>
      </c>
      <c r="F36" s="11" t="n">
        <f aca="false">F12-E12</f>
        <v>0</v>
      </c>
      <c r="G36" s="11" t="n">
        <f aca="false">G12-F12</f>
        <v>0</v>
      </c>
      <c r="H36" s="11" t="n">
        <f aca="false">H12-G12</f>
        <v>0</v>
      </c>
      <c r="I36" s="11" t="n">
        <f aca="false">I12-H12</f>
        <v>118</v>
      </c>
      <c r="J36" s="11" t="n">
        <f aca="false">J12-I12</f>
        <v>81</v>
      </c>
      <c r="K36" s="11" t="n">
        <f aca="false">K12-J12</f>
        <v>86</v>
      </c>
      <c r="L36" s="11" t="n">
        <f aca="false">L12-K12</f>
        <v>18</v>
      </c>
      <c r="M36" s="11" t="n">
        <f aca="false">M12-L12</f>
        <v>8</v>
      </c>
      <c r="N36" s="11" t="n">
        <f aca="false">N12-M12</f>
        <v>29</v>
      </c>
      <c r="O36" s="11" t="n">
        <f aca="false">O12-N12</f>
        <v>4</v>
      </c>
    </row>
    <row r="37" customFormat="false" ht="15" hidden="false" customHeight="false" outlineLevel="0" collapsed="false">
      <c r="A37" s="5" t="str">
        <f aca="false">A13</f>
        <v>Ligga Telecom</v>
      </c>
      <c r="B37" s="2" t="str">
        <f aca="false">B13</f>
        <v>LIGGA TELECOM</v>
      </c>
      <c r="D37" s="11" t="n">
        <f aca="false">D13-C13</f>
        <v>-1</v>
      </c>
      <c r="E37" s="11" t="n">
        <f aca="false">E13-D13</f>
        <v>0</v>
      </c>
      <c r="F37" s="11" t="n">
        <f aca="false">F13-E13</f>
        <v>0</v>
      </c>
      <c r="G37" s="11" t="n">
        <f aca="false">G13-F13</f>
        <v>0</v>
      </c>
      <c r="H37" s="11" t="n">
        <f aca="false">H13-G13</f>
        <v>0</v>
      </c>
      <c r="I37" s="11" t="n">
        <f aca="false">I13-H13</f>
        <v>0</v>
      </c>
      <c r="J37" s="11" t="n">
        <f aca="false">J13-I13</f>
        <v>0</v>
      </c>
      <c r="K37" s="11" t="n">
        <f aca="false">K13-J13</f>
        <v>0</v>
      </c>
      <c r="L37" s="11" t="n">
        <f aca="false">L13-K13</f>
        <v>0</v>
      </c>
      <c r="M37" s="11" t="n">
        <f aca="false">M13-L13</f>
        <v>0</v>
      </c>
      <c r="N37" s="11" t="n">
        <f aca="false">N13-M13</f>
        <v>0</v>
      </c>
      <c r="O37" s="11" t="n">
        <f aca="false">O13-N13</f>
        <v>0</v>
      </c>
    </row>
    <row r="38" customFormat="false" ht="15" hidden="false" customHeight="false" outlineLevel="0" collapsed="false">
      <c r="A38" s="7" t="str">
        <f aca="false">A14</f>
        <v>Total</v>
      </c>
      <c r="D38" s="12" t="n">
        <f aca="false">D14-C14</f>
        <v>211265</v>
      </c>
      <c r="E38" s="12" t="n">
        <f aca="false">E14-D14</f>
        <v>341763</v>
      </c>
      <c r="F38" s="12" t="n">
        <f aca="false">F14-E14</f>
        <v>354997</v>
      </c>
      <c r="G38" s="12" t="n">
        <f aca="false">G14-F14</f>
        <v>500361</v>
      </c>
      <c r="H38" s="12" t="n">
        <f aca="false">H14-G14</f>
        <v>467343</v>
      </c>
      <c r="I38" s="12" t="n">
        <f aca="false">I14-H14</f>
        <v>93751</v>
      </c>
      <c r="J38" s="12" t="n">
        <f aca="false">J14-I14</f>
        <v>1010279</v>
      </c>
      <c r="K38" s="12" t="n">
        <f aca="false">K14-J14</f>
        <v>556082</v>
      </c>
      <c r="L38" s="12" t="n">
        <f aca="false">L14-K14</f>
        <v>727861</v>
      </c>
      <c r="M38" s="12" t="n">
        <f aca="false">M14-L14</f>
        <v>921854</v>
      </c>
      <c r="N38" s="12" t="n">
        <f aca="false">N14-M14</f>
        <v>1034313</v>
      </c>
      <c r="O38" s="12" t="n">
        <f aca="false">O14-N14</f>
        <v>1016514</v>
      </c>
    </row>
    <row r="40" customFormat="false" ht="15" hidden="false" customHeight="false" outlineLevel="0" collapsed="false">
      <c r="A40" s="3" t="s">
        <v>42</v>
      </c>
      <c r="B40" s="3"/>
      <c r="C40" s="3" t="s">
        <v>43</v>
      </c>
      <c r="D40" s="3" t="s">
        <v>44</v>
      </c>
    </row>
    <row r="41" customFormat="false" ht="15" hidden="false" customHeight="false" outlineLevel="0" collapsed="false">
      <c r="A41" s="5" t="str">
        <f aca="false">A5</f>
        <v>Vivo</v>
      </c>
      <c r="C41" s="13" t="n">
        <f aca="false">IF(C5=0,0,O5/C5-1)</f>
        <v>0.18606646331913</v>
      </c>
      <c r="D41" s="14" t="n">
        <f aca="false">(O17-C17)*100</f>
        <v>-1.44729345787566</v>
      </c>
    </row>
    <row r="42" customFormat="false" ht="15" hidden="false" customHeight="false" outlineLevel="0" collapsed="false">
      <c r="A42" s="5" t="str">
        <f aca="false">A6</f>
        <v>Claro</v>
      </c>
      <c r="C42" s="13" t="n">
        <f aca="false">IF(C6=0,0,O6/C6-1)</f>
        <v>0.133844456790806</v>
      </c>
      <c r="D42" s="14" t="n">
        <f aca="false">(O18-C18)*100</f>
        <v>-2.44312021457433</v>
      </c>
    </row>
    <row r="43" customFormat="false" ht="15" hidden="false" customHeight="false" outlineLevel="0" collapsed="false">
      <c r="A43" s="5" t="str">
        <f aca="false">A7</f>
        <v>Datora</v>
      </c>
      <c r="C43" s="13" t="n">
        <f aca="false">IF(C7=0,0,O7/C7-1)</f>
        <v>0.586152116194714</v>
      </c>
      <c r="D43" s="14" t="n">
        <f aca="false">(O19-C19)*100</f>
        <v>2.83273666039084</v>
      </c>
    </row>
    <row r="44" customFormat="false" ht="15" hidden="false" customHeight="false" outlineLevel="0" collapsed="false">
      <c r="A44" s="5" t="str">
        <f aca="false">A8</f>
        <v>TIM</v>
      </c>
      <c r="C44" s="13" t="n">
        <f aca="false">IF(C8=0,0,O8/C8-1)</f>
        <v>0.179789092394557</v>
      </c>
      <c r="D44" s="14" t="n">
        <f aca="false">(O20-C20)*100</f>
        <v>-0.688178116339555</v>
      </c>
    </row>
    <row r="45" customFormat="false" ht="15" hidden="false" customHeight="false" outlineLevel="0" collapsed="false">
      <c r="A45" s="5" t="str">
        <f aca="false">A9</f>
        <v>Outros</v>
      </c>
      <c r="C45" s="13" t="n">
        <f aca="false">IF(C9=0,0,O9/C9-1)</f>
        <v>0.531676631440506</v>
      </c>
      <c r="D45" s="14" t="n">
        <f aca="false">(O21-C21)*100</f>
        <v>1.86525902865312</v>
      </c>
    </row>
    <row r="46" customFormat="false" ht="15" hidden="false" customHeight="false" outlineLevel="0" collapsed="false">
      <c r="A46" s="5" t="str">
        <f aca="false">A10</f>
        <v>Algar</v>
      </c>
      <c r="C46" s="13" t="n">
        <f aca="false">IF(C10=0,0,O10/C10-1)</f>
        <v>0.186946982207979</v>
      </c>
      <c r="D46" s="14" t="n">
        <f aca="false">(O22-C22)*100</f>
        <v>-0.54072774744367</v>
      </c>
    </row>
    <row r="47" customFormat="false" ht="15" hidden="false" customHeight="false" outlineLevel="0" collapsed="false">
      <c r="A47" s="5" t="str">
        <f aca="false">A11</f>
        <v>Surf Telecom</v>
      </c>
      <c r="C47" s="13" t="n">
        <f aca="false">IF(C11=0,0,O11/C11-1)</f>
        <v>0.373678347625664</v>
      </c>
      <c r="D47" s="14" t="n">
        <f aca="false">(O23-C23)*100</f>
        <v>0.42037775722345</v>
      </c>
    </row>
    <row r="48" customFormat="false" ht="15" hidden="false" customHeight="false" outlineLevel="0" collapsed="false">
      <c r="A48" s="5" t="str">
        <f aca="false">A12</f>
        <v>Unifique</v>
      </c>
      <c r="C48" s="13" t="n">
        <f aca="false">IF(C12=0,0,O12/C12-1)</f>
        <v>0</v>
      </c>
      <c r="D48" s="14" t="n">
        <f aca="false">(O24-C24)*100</f>
        <v>0.000953028494610042</v>
      </c>
    </row>
    <row r="49" customFormat="false" ht="15" hidden="false" customHeight="false" outlineLevel="0" collapsed="false">
      <c r="A49" s="5" t="str">
        <f aca="false">A13</f>
        <v>Ligga Telecom</v>
      </c>
      <c r="C49" s="13" t="n">
        <f aca="false">IF(C13=0,0,O13/C13-1)</f>
        <v>-0.166666666666667</v>
      </c>
      <c r="D49" s="14" t="n">
        <f aca="false">(O25-C25)*100</f>
        <v>-6.93852880630879E-006</v>
      </c>
    </row>
    <row r="50" customFormat="false" ht="15" hidden="false" customHeight="false" outlineLevel="0" collapsed="false">
      <c r="A50" s="7" t="str">
        <f aca="false">A14</f>
        <v>Total</v>
      </c>
      <c r="C50" s="13" t="n">
        <f aca="false">IF(C14=0,0,O14/C14-1)</f>
        <v>0.250748958516515</v>
      </c>
      <c r="D50" s="14" t="n">
        <f aca="false">(O26-C26)*100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33</v>
      </c>
      <c r="B5" s="2" t="s">
        <v>34</v>
      </c>
      <c r="C5" s="6" t="n">
        <v>21410513</v>
      </c>
      <c r="D5" s="6" t="n">
        <v>21251953</v>
      </c>
      <c r="E5" s="6" t="n">
        <v>21616238</v>
      </c>
      <c r="F5" s="6" t="n">
        <v>21195744</v>
      </c>
      <c r="G5" s="6" t="n">
        <v>21751366</v>
      </c>
      <c r="H5" s="6" t="n">
        <v>21869393</v>
      </c>
      <c r="I5" s="6" t="n">
        <v>22447704</v>
      </c>
      <c r="J5" s="6" t="n">
        <v>22913916</v>
      </c>
      <c r="K5" s="6" t="n">
        <v>23290014</v>
      </c>
      <c r="L5" s="6" t="n">
        <v>23670226</v>
      </c>
      <c r="M5" s="6" t="n">
        <v>24090856</v>
      </c>
      <c r="N5" s="6" t="n">
        <v>23985149</v>
      </c>
      <c r="O5" s="6" t="n">
        <v>23495763</v>
      </c>
    </row>
    <row r="6" customFormat="false" ht="15" hidden="false" customHeight="false" outlineLevel="0" collapsed="false">
      <c r="A6" s="5" t="s">
        <v>19</v>
      </c>
      <c r="B6" s="2" t="s">
        <v>20</v>
      </c>
      <c r="C6" s="6" t="n">
        <v>10473142</v>
      </c>
      <c r="D6" s="6" t="n">
        <v>10504622</v>
      </c>
      <c r="E6" s="6" t="n">
        <v>10543240</v>
      </c>
      <c r="F6" s="6" t="n">
        <v>10583440</v>
      </c>
      <c r="G6" s="6" t="n">
        <v>10617497</v>
      </c>
      <c r="H6" s="6" t="n">
        <v>10655514</v>
      </c>
      <c r="I6" s="6" t="n">
        <v>10682390</v>
      </c>
      <c r="J6" s="6" t="n">
        <v>10727368</v>
      </c>
      <c r="K6" s="6" t="n">
        <v>10759841</v>
      </c>
      <c r="L6" s="6" t="n">
        <v>10784341</v>
      </c>
      <c r="M6" s="6" t="n">
        <v>10805062</v>
      </c>
      <c r="N6" s="6" t="n">
        <v>10842692</v>
      </c>
      <c r="O6" s="6" t="n">
        <v>10877036</v>
      </c>
    </row>
    <row r="7" customFormat="false" ht="15" hidden="false" customHeight="false" outlineLevel="0" collapsed="false">
      <c r="A7" s="5" t="s">
        <v>17</v>
      </c>
      <c r="B7" s="2" t="s">
        <v>18</v>
      </c>
      <c r="C7" s="6" t="n">
        <v>7805507</v>
      </c>
      <c r="D7" s="6" t="n">
        <v>7866506</v>
      </c>
      <c r="E7" s="6" t="n">
        <v>7931141</v>
      </c>
      <c r="F7" s="6" t="n">
        <v>7994172</v>
      </c>
      <c r="G7" s="6" t="n">
        <v>8042058</v>
      </c>
      <c r="H7" s="6" t="n">
        <v>8098465</v>
      </c>
      <c r="I7" s="6" t="n">
        <v>8144048</v>
      </c>
      <c r="J7" s="6" t="n">
        <v>8212765</v>
      </c>
      <c r="K7" s="6" t="n">
        <v>8278325</v>
      </c>
      <c r="L7" s="6" t="n">
        <v>8352443</v>
      </c>
      <c r="M7" s="6" t="n">
        <v>8409356</v>
      </c>
      <c r="N7" s="6" t="n">
        <v>8479411</v>
      </c>
      <c r="O7" s="6" t="n">
        <v>8543692</v>
      </c>
    </row>
    <row r="8" customFormat="false" ht="15" hidden="false" customHeight="false" outlineLevel="0" collapsed="false">
      <c r="A8" s="5" t="s">
        <v>57</v>
      </c>
      <c r="B8" s="2" t="s">
        <v>58</v>
      </c>
      <c r="C8" s="6" t="n">
        <v>4015100</v>
      </c>
      <c r="D8" s="6" t="n">
        <v>3942261</v>
      </c>
      <c r="E8" s="6" t="n">
        <v>3863611</v>
      </c>
      <c r="F8" s="6" t="n">
        <v>3756313</v>
      </c>
      <c r="G8" s="6" t="n">
        <v>3693261</v>
      </c>
      <c r="H8" s="6" t="n">
        <v>3623077</v>
      </c>
      <c r="I8" s="6" t="n">
        <v>3578605</v>
      </c>
      <c r="J8" s="6" t="n">
        <v>3529684</v>
      </c>
      <c r="K8" s="6" t="n">
        <v>3510892</v>
      </c>
      <c r="L8" s="6" t="n">
        <v>3458749</v>
      </c>
      <c r="M8" s="6" t="n">
        <v>3434931</v>
      </c>
      <c r="N8" s="6" t="n">
        <v>3444770</v>
      </c>
      <c r="O8" s="6" t="n">
        <v>3465506</v>
      </c>
    </row>
    <row r="9" customFormat="false" ht="15" hidden="false" customHeight="false" outlineLevel="0" collapsed="false">
      <c r="A9" s="5" t="s">
        <v>25</v>
      </c>
      <c r="B9" s="2" t="s">
        <v>26</v>
      </c>
      <c r="C9" s="6" t="n">
        <v>1534268</v>
      </c>
      <c r="D9" s="6" t="n">
        <v>1538952</v>
      </c>
      <c r="E9" s="6" t="n">
        <v>1545705</v>
      </c>
      <c r="F9" s="6" t="n">
        <v>1549994</v>
      </c>
      <c r="G9" s="6" t="n">
        <v>1554231</v>
      </c>
      <c r="H9" s="6" t="n">
        <v>1558912</v>
      </c>
      <c r="I9" s="6" t="n">
        <v>1563013</v>
      </c>
      <c r="J9" s="6" t="n">
        <v>1567284</v>
      </c>
      <c r="K9" s="6" t="n">
        <v>1572321</v>
      </c>
      <c r="L9" s="6" t="n">
        <v>1578364</v>
      </c>
      <c r="M9" s="6" t="n">
        <v>1579840</v>
      </c>
      <c r="N9" s="6" t="n">
        <v>1584006</v>
      </c>
      <c r="O9" s="6" t="n">
        <v>1587128</v>
      </c>
    </row>
    <row r="10" customFormat="false" ht="15" hidden="false" customHeight="false" outlineLevel="0" collapsed="false">
      <c r="A10" s="5" t="s">
        <v>59</v>
      </c>
      <c r="B10" s="2" t="s">
        <v>60</v>
      </c>
      <c r="C10" s="6" t="n">
        <v>1079257</v>
      </c>
      <c r="D10" s="6" t="n">
        <v>1310226</v>
      </c>
      <c r="E10" s="6" t="n">
        <v>1316629</v>
      </c>
      <c r="F10" s="6" t="n">
        <v>1323976</v>
      </c>
      <c r="G10" s="6" t="n">
        <v>1344824</v>
      </c>
      <c r="H10" s="6" t="n">
        <v>1359332</v>
      </c>
      <c r="I10" s="6" t="n">
        <v>1364222</v>
      </c>
      <c r="J10" s="6" t="n">
        <v>1371782</v>
      </c>
      <c r="K10" s="6" t="n">
        <v>1377335</v>
      </c>
      <c r="L10" s="6" t="n">
        <v>1370170</v>
      </c>
      <c r="M10" s="6" t="n">
        <v>1372924</v>
      </c>
      <c r="N10" s="6" t="n">
        <v>1381274</v>
      </c>
      <c r="O10" s="6" t="n">
        <v>1384020</v>
      </c>
    </row>
    <row r="11" customFormat="false" ht="15" hidden="false" customHeight="false" outlineLevel="0" collapsed="false">
      <c r="A11" s="5" t="s">
        <v>29</v>
      </c>
      <c r="B11" s="2" t="s">
        <v>30</v>
      </c>
      <c r="C11" s="6" t="n">
        <v>1375652</v>
      </c>
      <c r="D11" s="6" t="n">
        <v>1369463</v>
      </c>
      <c r="E11" s="6" t="n">
        <v>1364571</v>
      </c>
      <c r="F11" s="6" t="n">
        <v>1358434</v>
      </c>
      <c r="G11" s="6" t="n">
        <v>1355015</v>
      </c>
      <c r="H11" s="6" t="n">
        <v>1347531</v>
      </c>
      <c r="I11" s="6" t="n">
        <v>1335264</v>
      </c>
      <c r="J11" s="6" t="n">
        <v>1325035</v>
      </c>
      <c r="K11" s="6" t="n">
        <v>1314714</v>
      </c>
      <c r="L11" s="6" t="n">
        <v>1311590</v>
      </c>
      <c r="M11" s="6" t="n">
        <v>1305248</v>
      </c>
      <c r="N11" s="6" t="n">
        <v>1298830</v>
      </c>
      <c r="O11" s="6" t="n">
        <v>1291738</v>
      </c>
    </row>
    <row r="12" customFormat="false" ht="15" hidden="false" customHeight="false" outlineLevel="0" collapsed="false">
      <c r="A12" s="5" t="s">
        <v>61</v>
      </c>
      <c r="B12" s="2" t="s">
        <v>62</v>
      </c>
      <c r="C12" s="6" t="n">
        <v>1542439</v>
      </c>
      <c r="D12" s="6" t="n">
        <v>1511541</v>
      </c>
      <c r="E12" s="6" t="n">
        <v>1493292</v>
      </c>
      <c r="F12" s="6" t="n">
        <v>1465036</v>
      </c>
      <c r="G12" s="6" t="n">
        <v>1433003</v>
      </c>
      <c r="H12" s="6" t="n">
        <v>1408159</v>
      </c>
      <c r="I12" s="6" t="n">
        <v>1386830</v>
      </c>
      <c r="J12" s="6" t="n">
        <v>1364559</v>
      </c>
      <c r="K12" s="6" t="n">
        <v>1345500</v>
      </c>
      <c r="L12" s="6" t="n">
        <v>1329846</v>
      </c>
      <c r="M12" s="6" t="n">
        <v>1313370</v>
      </c>
      <c r="N12" s="6" t="n">
        <v>1300316</v>
      </c>
      <c r="O12" s="6" t="n">
        <v>1287642</v>
      </c>
    </row>
    <row r="13" customFormat="false" ht="15" hidden="false" customHeight="false" outlineLevel="0" collapsed="false">
      <c r="A13" s="5" t="s">
        <v>63</v>
      </c>
      <c r="B13" s="2" t="s">
        <v>64</v>
      </c>
      <c r="C13" s="6" t="n">
        <v>1192285</v>
      </c>
      <c r="D13" s="6" t="n">
        <v>1198375</v>
      </c>
      <c r="E13" s="6" t="n">
        <v>1205456</v>
      </c>
      <c r="F13" s="6" t="n">
        <v>1207525</v>
      </c>
      <c r="G13" s="6" t="n">
        <v>1207607</v>
      </c>
      <c r="H13" s="6" t="n">
        <v>1208654</v>
      </c>
      <c r="I13" s="6" t="n">
        <v>1208182</v>
      </c>
      <c r="J13" s="6" t="n">
        <v>1205698</v>
      </c>
      <c r="K13" s="6" t="n">
        <v>1203793</v>
      </c>
      <c r="L13" s="6" t="n">
        <v>1200501</v>
      </c>
      <c r="M13" s="6" t="n">
        <v>1199770</v>
      </c>
      <c r="N13" s="6" t="n">
        <v>1198279</v>
      </c>
      <c r="O13" s="6" t="n">
        <v>1194307</v>
      </c>
    </row>
    <row r="14" customFormat="false" ht="15" hidden="false" customHeight="false" outlineLevel="0" collapsed="false">
      <c r="A14" s="5" t="s">
        <v>21</v>
      </c>
      <c r="B14" s="2" t="s">
        <v>22</v>
      </c>
      <c r="C14" s="6" t="n">
        <v>820778</v>
      </c>
      <c r="D14" s="6" t="n">
        <v>829475</v>
      </c>
      <c r="E14" s="6" t="n">
        <v>837948</v>
      </c>
      <c r="F14" s="6" t="n">
        <v>849422</v>
      </c>
      <c r="G14" s="6" t="n">
        <v>856905</v>
      </c>
      <c r="H14" s="6" t="n">
        <v>866565</v>
      </c>
      <c r="I14" s="6" t="n">
        <v>878073</v>
      </c>
      <c r="J14" s="6" t="n">
        <v>887155</v>
      </c>
      <c r="K14" s="6" t="n">
        <v>893526</v>
      </c>
      <c r="L14" s="6" t="n">
        <v>901550</v>
      </c>
      <c r="M14" s="6" t="n">
        <v>906476</v>
      </c>
      <c r="N14" s="6" t="n">
        <v>918547</v>
      </c>
      <c r="O14" s="6" t="n">
        <v>929882</v>
      </c>
    </row>
    <row r="15" customFormat="false" ht="15" hidden="false" customHeight="false" outlineLevel="0" collapsed="false">
      <c r="A15" s="5" t="s">
        <v>31</v>
      </c>
      <c r="B15" s="2" t="s">
        <v>32</v>
      </c>
      <c r="C15" s="6" t="n">
        <v>820963</v>
      </c>
      <c r="D15" s="6" t="n">
        <v>823491</v>
      </c>
      <c r="E15" s="6" t="n">
        <v>827517</v>
      </c>
      <c r="F15" s="6" t="n">
        <v>856434</v>
      </c>
      <c r="G15" s="6" t="n">
        <v>867952</v>
      </c>
      <c r="H15" s="6" t="n">
        <v>872309</v>
      </c>
      <c r="I15" s="6" t="n">
        <v>876868</v>
      </c>
      <c r="J15" s="6" t="n">
        <v>879986</v>
      </c>
      <c r="K15" s="6" t="n">
        <v>882874</v>
      </c>
      <c r="L15" s="6" t="n">
        <v>883910</v>
      </c>
      <c r="M15" s="6" t="n">
        <v>885395</v>
      </c>
      <c r="N15" s="6" t="n">
        <v>890493</v>
      </c>
      <c r="O15" s="6" t="n">
        <v>892030</v>
      </c>
    </row>
    <row r="16" customFormat="false" ht="15" hidden="false" customHeight="false" outlineLevel="0" collapsed="false">
      <c r="A16" s="5" t="s">
        <v>27</v>
      </c>
      <c r="B16" s="2" t="s">
        <v>28</v>
      </c>
      <c r="C16" s="6" t="n">
        <v>834297</v>
      </c>
      <c r="D16" s="6" t="n">
        <v>830486</v>
      </c>
      <c r="E16" s="6" t="n">
        <v>838265</v>
      </c>
      <c r="F16" s="6" t="n">
        <v>841149</v>
      </c>
      <c r="G16" s="6" t="n">
        <v>841359</v>
      </c>
      <c r="H16" s="6" t="n">
        <v>840070</v>
      </c>
      <c r="I16" s="6" t="n">
        <v>839702</v>
      </c>
      <c r="J16" s="6" t="n">
        <v>840932</v>
      </c>
      <c r="K16" s="6" t="n">
        <v>840387</v>
      </c>
      <c r="L16" s="6" t="n">
        <v>838982</v>
      </c>
      <c r="M16" s="6" t="n">
        <v>837103</v>
      </c>
      <c r="N16" s="6" t="n">
        <v>835453</v>
      </c>
      <c r="O16" s="6" t="n">
        <v>833924</v>
      </c>
    </row>
    <row r="17" customFormat="false" ht="15" hidden="false" customHeight="false" outlineLevel="0" collapsed="false">
      <c r="A17" s="5" t="s">
        <v>65</v>
      </c>
      <c r="B17" s="2" t="s">
        <v>66</v>
      </c>
      <c r="C17" s="6" t="n">
        <v>797350</v>
      </c>
      <c r="D17" s="6" t="n">
        <v>797058</v>
      </c>
      <c r="E17" s="6" t="n">
        <v>823511</v>
      </c>
      <c r="F17" s="6" t="n">
        <v>822748</v>
      </c>
      <c r="G17" s="6" t="n">
        <v>821993</v>
      </c>
      <c r="H17" s="6" t="n">
        <v>796462</v>
      </c>
      <c r="I17" s="6" t="n">
        <v>795092</v>
      </c>
      <c r="J17" s="6" t="n">
        <v>794407</v>
      </c>
      <c r="K17" s="6" t="n">
        <v>793085</v>
      </c>
      <c r="L17" s="6" t="n">
        <v>790686</v>
      </c>
      <c r="M17" s="6" t="n">
        <v>787121</v>
      </c>
      <c r="N17" s="6" t="n">
        <v>802523</v>
      </c>
      <c r="O17" s="6" t="n">
        <v>798113</v>
      </c>
    </row>
    <row r="18" customFormat="false" ht="15" hidden="false" customHeight="false" outlineLevel="0" collapsed="false">
      <c r="A18" s="5" t="s">
        <v>67</v>
      </c>
      <c r="B18" s="2" t="s">
        <v>68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480931</v>
      </c>
      <c r="I18" s="6" t="n">
        <v>493856</v>
      </c>
      <c r="J18" s="6" t="n">
        <v>494389</v>
      </c>
      <c r="K18" s="6" t="n">
        <v>494503</v>
      </c>
      <c r="L18" s="6" t="n">
        <v>495370</v>
      </c>
      <c r="M18" s="6" t="n">
        <v>502746</v>
      </c>
      <c r="N18" s="6" t="n">
        <v>860344</v>
      </c>
      <c r="O18" s="6" t="n">
        <v>508189</v>
      </c>
    </row>
    <row r="19" customFormat="false" ht="15" hidden="false" customHeight="false" outlineLevel="0" collapsed="false">
      <c r="A19" s="5" t="s">
        <v>49</v>
      </c>
      <c r="B19" s="2" t="s">
        <v>50</v>
      </c>
      <c r="C19" s="6" t="n">
        <v>341331</v>
      </c>
      <c r="D19" s="6" t="n">
        <v>342108</v>
      </c>
      <c r="E19" s="6" t="n">
        <v>343346</v>
      </c>
      <c r="F19" s="6" t="n">
        <v>343687</v>
      </c>
      <c r="G19" s="6" t="n">
        <v>343906</v>
      </c>
      <c r="H19" s="6" t="n">
        <v>345809</v>
      </c>
      <c r="I19" s="6" t="n">
        <v>347472</v>
      </c>
      <c r="J19" s="6" t="n">
        <v>349117</v>
      </c>
      <c r="K19" s="6" t="n">
        <v>350284</v>
      </c>
      <c r="L19" s="6" t="n">
        <v>351054</v>
      </c>
      <c r="M19" s="6" t="n">
        <v>350503</v>
      </c>
      <c r="N19" s="6" t="n">
        <v>351039</v>
      </c>
      <c r="O19" s="6" t="n">
        <v>354443</v>
      </c>
    </row>
    <row r="20" customFormat="false" ht="15" hidden="false" customHeight="false" outlineLevel="0" collapsed="false">
      <c r="A20" s="5" t="s">
        <v>37</v>
      </c>
      <c r="B20" s="2" t="s">
        <v>38</v>
      </c>
      <c r="C20" s="6" t="n">
        <v>747245</v>
      </c>
      <c r="D20" s="6" t="n">
        <v>744597</v>
      </c>
      <c r="E20" s="6" t="n">
        <v>742116</v>
      </c>
      <c r="F20" s="6" t="n">
        <v>739135</v>
      </c>
      <c r="G20" s="6" t="n">
        <v>735512</v>
      </c>
      <c r="H20" s="6" t="n">
        <v>514666</v>
      </c>
      <c r="I20" s="6" t="n">
        <v>514881</v>
      </c>
      <c r="J20" s="6" t="n">
        <v>517386</v>
      </c>
      <c r="K20" s="6" t="n">
        <v>482876</v>
      </c>
      <c r="L20" s="6" t="n">
        <v>482931</v>
      </c>
      <c r="M20" s="6" t="n">
        <v>473553</v>
      </c>
      <c r="N20" s="6" t="n">
        <v>473126</v>
      </c>
      <c r="O20" s="6" t="n">
        <v>449701</v>
      </c>
    </row>
    <row r="21" customFormat="false" ht="15" hidden="false" customHeight="false" outlineLevel="0" collapsed="false">
      <c r="A21" s="7" t="s">
        <v>39</v>
      </c>
      <c r="C21" s="8" t="n">
        <f aca="false">SUM(C5:C20)</f>
        <v>54790127</v>
      </c>
      <c r="D21" s="8" t="n">
        <f aca="false">SUM(D5:D20)</f>
        <v>54861114</v>
      </c>
      <c r="E21" s="8" t="n">
        <f aca="false">SUM(E5:E20)</f>
        <v>55292586</v>
      </c>
      <c r="F21" s="8" t="n">
        <f aca="false">SUM(F5:F20)</f>
        <v>54887209</v>
      </c>
      <c r="G21" s="8" t="n">
        <f aca="false">SUM(G5:G20)</f>
        <v>55466489</v>
      </c>
      <c r="H21" s="8" t="n">
        <f aca="false">SUM(H5:H20)</f>
        <v>55845849</v>
      </c>
      <c r="I21" s="8" t="n">
        <f aca="false">SUM(I5:I20)</f>
        <v>56456202</v>
      </c>
      <c r="J21" s="8" t="n">
        <f aca="false">SUM(J5:J20)</f>
        <v>56981463</v>
      </c>
      <c r="K21" s="8" t="n">
        <f aca="false">SUM(K5:K20)</f>
        <v>57390270</v>
      </c>
      <c r="L21" s="8" t="n">
        <f aca="false">SUM(L5:L20)</f>
        <v>57800713</v>
      </c>
      <c r="M21" s="8" t="n">
        <f aca="false">SUM(M5:M20)</f>
        <v>58254254</v>
      </c>
      <c r="N21" s="8" t="n">
        <f aca="false">SUM(N5:N20)</f>
        <v>58646252</v>
      </c>
      <c r="O21" s="8" t="n">
        <f aca="false">SUM(O5:O20)</f>
        <v>57893114</v>
      </c>
    </row>
    <row r="23" customFormat="false" ht="15" hidden="false" customHeight="false" outlineLevel="0" collapsed="false">
      <c r="A23" s="3" t="s">
        <v>40</v>
      </c>
      <c r="B23" s="3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  <c r="I23" s="4" t="s">
        <v>10</v>
      </c>
      <c r="J23" s="4" t="s">
        <v>11</v>
      </c>
      <c r="K23" s="4" t="s">
        <v>12</v>
      </c>
      <c r="L23" s="4" t="s">
        <v>13</v>
      </c>
      <c r="M23" s="4" t="s">
        <v>14</v>
      </c>
      <c r="N23" s="4" t="s">
        <v>15</v>
      </c>
      <c r="O23" s="4" t="s">
        <v>16</v>
      </c>
    </row>
    <row r="24" customFormat="false" ht="15" hidden="false" customHeight="false" outlineLevel="0" collapsed="false">
      <c r="A24" s="5" t="str">
        <f aca="false">A5</f>
        <v>Outros</v>
      </c>
      <c r="B24" s="2" t="str">
        <f aca="false">B5</f>
        <v>OUTROS</v>
      </c>
      <c r="C24" s="9" t="n">
        <f aca="false">IF(C$21=0,0,C5/C$21)</f>
        <v>0.390773195324041</v>
      </c>
      <c r="D24" s="9" t="n">
        <f aca="false">IF(D$21=0,0,D5/D$21)</f>
        <v>0.387377350740636</v>
      </c>
      <c r="E24" s="9" t="n">
        <f aca="false">IF(E$21=0,0,E5/E$21)</f>
        <v>0.390942792945152</v>
      </c>
      <c r="F24" s="9" t="n">
        <f aca="false">IF(F$21=0,0,F5/F$21)</f>
        <v>0.386169098159099</v>
      </c>
      <c r="G24" s="9" t="n">
        <f aca="false">IF(G$21=0,0,G5/G$21)</f>
        <v>0.392153287365999</v>
      </c>
      <c r="H24" s="9" t="n">
        <f aca="false">IF(H$21=0,0,H5/H$21)</f>
        <v>0.391602838735606</v>
      </c>
      <c r="I24" s="9" t="n">
        <f aca="false">IF(I$21=0,0,I5/I$21)</f>
        <v>0.397612719325328</v>
      </c>
      <c r="J24" s="9" t="n">
        <f aca="false">IF(J$21=0,0,J5/J$21)</f>
        <v>0.402129302998065</v>
      </c>
      <c r="K24" s="9" t="n">
        <f aca="false">IF(K$21=0,0,K5/K$21)</f>
        <v>0.405818163950091</v>
      </c>
      <c r="L24" s="9" t="n">
        <f aca="false">IF(L$21=0,0,L5/L$21)</f>
        <v>0.409514429346226</v>
      </c>
      <c r="M24" s="9" t="n">
        <f aca="false">IF(M$21=0,0,M5/M$21)</f>
        <v>0.4135467257035</v>
      </c>
      <c r="N24" s="9" t="n">
        <f aca="false">IF(N$21=0,0,N5/N$21)</f>
        <v>0.408980082819274</v>
      </c>
      <c r="O24" s="9" t="n">
        <f aca="false">IF(O$21=0,0,O5/O$21)</f>
        <v>0.405847282631921</v>
      </c>
    </row>
    <row r="25" customFormat="false" ht="15" hidden="false" customHeight="false" outlineLevel="0" collapsed="false">
      <c r="A25" s="5" t="str">
        <f aca="false">A6</f>
        <v>Claro</v>
      </c>
      <c r="B25" s="2" t="str">
        <f aca="false">B6</f>
        <v>TELECOM AMERICAS</v>
      </c>
      <c r="C25" s="9" t="n">
        <f aca="false">IF(C$21=0,0,C6/C$21)</f>
        <v>0.191150168350586</v>
      </c>
      <c r="D25" s="9" t="n">
        <f aca="false">IF(D$21=0,0,D6/D$21)</f>
        <v>0.191476644094394</v>
      </c>
      <c r="E25" s="9" t="n">
        <f aca="false">IF(E$21=0,0,E6/E$21)</f>
        <v>0.190680898882176</v>
      </c>
      <c r="F25" s="9" t="n">
        <f aca="false">IF(F$21=0,0,F6/F$21)</f>
        <v>0.192821609858137</v>
      </c>
      <c r="G25" s="9" t="n">
        <f aca="false">IF(G$21=0,0,G6/G$21)</f>
        <v>0.191421833099982</v>
      </c>
      <c r="H25" s="9" t="n">
        <f aca="false">IF(H$21=0,0,H6/H$21)</f>
        <v>0.190802256404053</v>
      </c>
      <c r="I25" s="9" t="n">
        <f aca="false">IF(I$21=0,0,I6/I$21)</f>
        <v>0.189215526754704</v>
      </c>
      <c r="J25" s="9" t="n">
        <f aca="false">IF(J$21=0,0,J6/J$21)</f>
        <v>0.188260662945772</v>
      </c>
      <c r="K25" s="9" t="n">
        <f aca="false">IF(K$21=0,0,K6/K$21)</f>
        <v>0.187485457029563</v>
      </c>
      <c r="L25" s="9" t="n">
        <f aca="false">IF(L$21=0,0,L6/L$21)</f>
        <v>0.186577992558673</v>
      </c>
      <c r="M25" s="9" t="n">
        <f aca="false">IF(M$21=0,0,M6/M$21)</f>
        <v>0.185481080918142</v>
      </c>
      <c r="N25" s="9" t="n">
        <f aca="false">IF(N$21=0,0,N6/N$21)</f>
        <v>0.184882948700626</v>
      </c>
      <c r="O25" s="9" t="n">
        <f aca="false">IF(O$21=0,0,O6/O$21)</f>
        <v>0.187881342848478</v>
      </c>
    </row>
    <row r="26" customFormat="false" ht="15" hidden="false" customHeight="false" outlineLevel="0" collapsed="false">
      <c r="A26" s="5" t="str">
        <f aca="false">A7</f>
        <v>Vivo</v>
      </c>
      <c r="B26" s="2" t="str">
        <f aca="false">B7</f>
        <v>TELEFONICA</v>
      </c>
      <c r="C26" s="9" t="n">
        <f aca="false">IF(C$21=0,0,C7/C$21)</f>
        <v>0.142461925667739</v>
      </c>
      <c r="D26" s="9" t="n">
        <f aca="false">IF(D$21=0,0,D7/D$21)</f>
        <v>0.143389468905061</v>
      </c>
      <c r="E26" s="9" t="n">
        <f aca="false">IF(E$21=0,0,E7/E$21)</f>
        <v>0.14343950199761</v>
      </c>
      <c r="F26" s="9" t="n">
        <f aca="false">IF(F$21=0,0,F7/F$21)</f>
        <v>0.145647267289543</v>
      </c>
      <c r="G26" s="9" t="n">
        <f aca="false">IF(G$21=0,0,G7/G$21)</f>
        <v>0.144989490861771</v>
      </c>
      <c r="H26" s="9" t="n">
        <f aca="false">IF(H$21=0,0,H7/H$21)</f>
        <v>0.145014627676267</v>
      </c>
      <c r="I26" s="9" t="n">
        <f aca="false">IF(I$21=0,0,I7/I$21)</f>
        <v>0.144254266342607</v>
      </c>
      <c r="J26" s="9" t="n">
        <f aca="false">IF(J$21=0,0,J7/J$21)</f>
        <v>0.144130469236987</v>
      </c>
      <c r="K26" s="9" t="n">
        <f aca="false">IF(K$21=0,0,K7/K$21)</f>
        <v>0.144246141375533</v>
      </c>
      <c r="L26" s="9" t="n">
        <f aca="false">IF(L$21=0,0,L7/L$21)</f>
        <v>0.144504151704841</v>
      </c>
      <c r="M26" s="9" t="n">
        <f aca="false">IF(M$21=0,0,M7/M$21)</f>
        <v>0.144356084278412</v>
      </c>
      <c r="N26" s="9" t="n">
        <f aca="false">IF(N$21=0,0,N7/N$21)</f>
        <v>0.144585727319795</v>
      </c>
      <c r="O26" s="9" t="n">
        <f aca="false">IF(O$21=0,0,O7/O$21)</f>
        <v>0.147576998535612</v>
      </c>
    </row>
    <row r="27" customFormat="false" ht="15" hidden="false" customHeight="false" outlineLevel="0" collapsed="false">
      <c r="A27" s="5" t="str">
        <f aca="false">A8</f>
        <v>Oi</v>
      </c>
      <c r="B27" s="2" t="str">
        <f aca="false">B8</f>
        <v>OI</v>
      </c>
      <c r="C27" s="9" t="n">
        <f aca="false">IF(C$21=0,0,C8/C$21)</f>
        <v>0.0732814508716142</v>
      </c>
      <c r="D27" s="9" t="n">
        <f aca="false">IF(D$21=0,0,D8/D$21)</f>
        <v>0.0718589308995803</v>
      </c>
      <c r="E27" s="9" t="n">
        <f aca="false">IF(E$21=0,0,E8/E$21)</f>
        <v>0.0698757515157638</v>
      </c>
      <c r="F27" s="9" t="n">
        <f aca="false">IF(F$21=0,0,F8/F$21)</f>
        <v>0.0684369467574859</v>
      </c>
      <c r="G27" s="9" t="n">
        <f aca="false">IF(G$21=0,0,G8/G$21)</f>
        <v>0.066585447656512</v>
      </c>
      <c r="H27" s="9" t="n">
        <f aca="false">IF(H$21=0,0,H8/H$21)</f>
        <v>0.0648763885745564</v>
      </c>
      <c r="I27" s="9" t="n">
        <f aca="false">IF(I$21=0,0,I8/I$21)</f>
        <v>0.0633872785137052</v>
      </c>
      <c r="J27" s="9" t="n">
        <f aca="false">IF(J$21=0,0,J8/J$21)</f>
        <v>0.0619444256810324</v>
      </c>
      <c r="K27" s="9" t="n">
        <f aca="false">IF(K$21=0,0,K8/K$21)</f>
        <v>0.0611757358869369</v>
      </c>
      <c r="L27" s="9" t="n">
        <f aca="false">IF(L$21=0,0,L8/L$21)</f>
        <v>0.0598392099419258</v>
      </c>
      <c r="M27" s="9" t="n">
        <f aca="false">IF(M$21=0,0,M8/M$21)</f>
        <v>0.0589644663546803</v>
      </c>
      <c r="N27" s="9" t="n">
        <f aca="false">IF(N$21=0,0,N8/N$21)</f>
        <v>0.0587381099818621</v>
      </c>
      <c r="O27" s="9" t="n">
        <f aca="false">IF(O$21=0,0,O8/O$21)</f>
        <v>0.0598604179419335</v>
      </c>
    </row>
    <row r="28" customFormat="false" ht="15" hidden="false" customHeight="false" outlineLevel="0" collapsed="false">
      <c r="A28" s="5" t="str">
        <f aca="false">A9</f>
        <v>Brisanet</v>
      </c>
      <c r="B28" s="2" t="str">
        <f aca="false">B9</f>
        <v>BRISANET</v>
      </c>
      <c r="C28" s="9" t="n">
        <f aca="false">IF(C$21=0,0,C9/C$21)</f>
        <v>0.0280026363143856</v>
      </c>
      <c r="D28" s="9" t="n">
        <f aca="false">IF(D$21=0,0,D9/D$21)</f>
        <v>0.0280517818139821</v>
      </c>
      <c r="E28" s="9" t="n">
        <f aca="false">IF(E$21=0,0,E9/E$21)</f>
        <v>0.0279550137155821</v>
      </c>
      <c r="F28" s="9" t="n">
        <f aca="false">IF(F$21=0,0,F9/F$21)</f>
        <v>0.0282396213660636</v>
      </c>
      <c r="G28" s="9" t="n">
        <f aca="false">IF(G$21=0,0,G9/G$21)</f>
        <v>0.0280210813415646</v>
      </c>
      <c r="H28" s="9" t="n">
        <f aca="false">IF(H$21=0,0,H9/H$21)</f>
        <v>0.027914554580413</v>
      </c>
      <c r="I28" s="9" t="n">
        <f aca="false">IF(I$21=0,0,I9/I$21)</f>
        <v>0.027685408239116</v>
      </c>
      <c r="J28" s="9" t="n">
        <f aca="false">IF(J$21=0,0,J9/J$21)</f>
        <v>0.0275051554924099</v>
      </c>
      <c r="K28" s="9" t="n">
        <f aca="false">IF(K$21=0,0,K9/K$21)</f>
        <v>0.027396996041315</v>
      </c>
      <c r="L28" s="9" t="n">
        <f aca="false">IF(L$21=0,0,L9/L$21)</f>
        <v>0.0273069987908281</v>
      </c>
      <c r="M28" s="9" t="n">
        <f aca="false">IF(M$21=0,0,M9/M$21)</f>
        <v>0.0271197361827001</v>
      </c>
      <c r="N28" s="9" t="n">
        <f aca="false">IF(N$21=0,0,N9/N$21)</f>
        <v>0.0270095009652109</v>
      </c>
      <c r="O28" s="9" t="n">
        <f aca="false">IF(O$21=0,0,O9/O$21)</f>
        <v>0.027414797552607</v>
      </c>
    </row>
    <row r="29" customFormat="false" ht="15" hidden="false" customHeight="false" outlineLevel="0" collapsed="false">
      <c r="A29" s="5" t="str">
        <f aca="false">A10</f>
        <v>Brasil Tecpar</v>
      </c>
      <c r="B29" s="2" t="str">
        <f aca="false">B10</f>
        <v>BRASIL TECPAR</v>
      </c>
      <c r="C29" s="9" t="n">
        <f aca="false">IF(C$21=0,0,C10/C$21)</f>
        <v>0.0196980196815386</v>
      </c>
      <c r="D29" s="9" t="n">
        <f aca="false">IF(D$21=0,0,D10/D$21)</f>
        <v>0.0238825992487138</v>
      </c>
      <c r="E29" s="9" t="n">
        <f aca="false">IF(E$21=0,0,E10/E$21)</f>
        <v>0.0238120351252879</v>
      </c>
      <c r="F29" s="9" t="n">
        <f aca="false">IF(F$21=0,0,F10/F$21)</f>
        <v>0.0241217584956816</v>
      </c>
      <c r="G29" s="9" t="n">
        <f aca="false">IF(G$21=0,0,G10/G$21)</f>
        <v>0.0242457026620163</v>
      </c>
      <c r="H29" s="9" t="n">
        <f aca="false">IF(H$21=0,0,H10/H$21)</f>
        <v>0.0243407885159021</v>
      </c>
      <c r="I29" s="9" t="n">
        <f aca="false">IF(I$21=0,0,I10/I$21)</f>
        <v>0.0241642539113772</v>
      </c>
      <c r="J29" s="9" t="n">
        <f aca="false">IF(J$21=0,0,J10/J$21)</f>
        <v>0.024074180053959</v>
      </c>
      <c r="K29" s="9" t="n">
        <f aca="false">IF(K$21=0,0,K10/K$21)</f>
        <v>0.0239994514749626</v>
      </c>
      <c r="L29" s="9" t="n">
        <f aca="false">IF(L$21=0,0,L10/L$21)</f>
        <v>0.0237050709045752</v>
      </c>
      <c r="M29" s="9" t="n">
        <f aca="false">IF(M$21=0,0,M10/M$21)</f>
        <v>0.0235677895729297</v>
      </c>
      <c r="N29" s="9" t="n">
        <f aca="false">IF(N$21=0,0,N10/N$21)</f>
        <v>0.0235526389648907</v>
      </c>
      <c r="O29" s="9" t="n">
        <f aca="false">IF(O$21=0,0,O10/O$21)</f>
        <v>0.0239064701200906</v>
      </c>
    </row>
    <row r="30" customFormat="false" ht="15" hidden="false" customHeight="false" outlineLevel="0" collapsed="false">
      <c r="A30" s="5" t="str">
        <f aca="false">A11</f>
        <v>Vero</v>
      </c>
      <c r="B30" s="2" t="str">
        <f aca="false">B11</f>
        <v>VERO</v>
      </c>
      <c r="C30" s="9" t="n">
        <f aca="false">IF(C$21=0,0,C11/C$21)</f>
        <v>0.0251076621888465</v>
      </c>
      <c r="D30" s="9" t="n">
        <f aca="false">IF(D$21=0,0,D11/D$21)</f>
        <v>0.02496236222983</v>
      </c>
      <c r="E30" s="9" t="n">
        <f aca="false">IF(E$21=0,0,E11/E$21)</f>
        <v>0.0246790953130678</v>
      </c>
      <c r="F30" s="9" t="n">
        <f aca="false">IF(F$21=0,0,F11/F$21)</f>
        <v>0.0247495550374952</v>
      </c>
      <c r="G30" s="9" t="n">
        <f aca="false">IF(G$21=0,0,G11/G$21)</f>
        <v>0.0244294352216885</v>
      </c>
      <c r="H30" s="9" t="n">
        <f aca="false">IF(H$21=0,0,H11/H$21)</f>
        <v>0.0241294746902317</v>
      </c>
      <c r="I30" s="9" t="n">
        <f aca="false">IF(I$21=0,0,I11/I$21)</f>
        <v>0.0236513253229468</v>
      </c>
      <c r="J30" s="9" t="n">
        <f aca="false">IF(J$21=0,0,J11/J$21)</f>
        <v>0.0232537904476057</v>
      </c>
      <c r="K30" s="9" t="n">
        <f aca="false">IF(K$21=0,0,K11/K$21)</f>
        <v>0.0229083083247387</v>
      </c>
      <c r="L30" s="9" t="n">
        <f aca="false">IF(L$21=0,0,L11/L$21)</f>
        <v>0.0226915885968396</v>
      </c>
      <c r="M30" s="9" t="n">
        <f aca="false">IF(M$21=0,0,M11/M$21)</f>
        <v>0.0224060546719901</v>
      </c>
      <c r="N30" s="9" t="n">
        <f aca="false">IF(N$21=0,0,N11/N$21)</f>
        <v>0.0221468543292417</v>
      </c>
      <c r="O30" s="9" t="n">
        <f aca="false">IF(O$21=0,0,O11/O$21)</f>
        <v>0.0223124636204575</v>
      </c>
    </row>
    <row r="31" customFormat="false" ht="15" hidden="false" customHeight="false" outlineLevel="0" collapsed="false">
      <c r="A31" s="5" t="str">
        <f aca="false">A12</f>
        <v>Giga Mais Fibra</v>
      </c>
      <c r="B31" s="2" t="str">
        <f aca="false">B12</f>
        <v>GIGA MAIS FIBRA</v>
      </c>
      <c r="C31" s="9" t="n">
        <f aca="false">IF(C$21=0,0,C12/C$21)</f>
        <v>0.0281517690221817</v>
      </c>
      <c r="D31" s="9" t="n">
        <f aca="false">IF(D$21=0,0,D12/D$21)</f>
        <v>0.0275521382959887</v>
      </c>
      <c r="E31" s="9" t="n">
        <f aca="false">IF(E$21=0,0,E12/E$21)</f>
        <v>0.027007092777321</v>
      </c>
      <c r="F31" s="9" t="n">
        <f aca="false">IF(F$21=0,0,F12/F$21)</f>
        <v>0.0266917561794771</v>
      </c>
      <c r="G31" s="9" t="n">
        <f aca="false">IF(G$21=0,0,G12/G$21)</f>
        <v>0.0258354733792507</v>
      </c>
      <c r="H31" s="9" t="n">
        <f aca="false">IF(H$21=0,0,H12/H$21)</f>
        <v>0.0252151059606955</v>
      </c>
      <c r="I31" s="9" t="n">
        <f aca="false">IF(I$21=0,0,I12/I$21)</f>
        <v>0.0245647059290315</v>
      </c>
      <c r="J31" s="9" t="n">
        <f aca="false">IF(J$21=0,0,J12/J$21)</f>
        <v>0.0239474195318572</v>
      </c>
      <c r="K31" s="9" t="n">
        <f aca="false">IF(K$21=0,0,K12/K$21)</f>
        <v>0.0234447407199862</v>
      </c>
      <c r="L31" s="9" t="n">
        <f aca="false">IF(L$21=0,0,L12/L$21)</f>
        <v>0.0230074324515685</v>
      </c>
      <c r="M31" s="9" t="n">
        <f aca="false">IF(M$21=0,0,M12/M$21)</f>
        <v>0.0225454779662958</v>
      </c>
      <c r="N31" s="9" t="n">
        <f aca="false">IF(N$21=0,0,N12/N$21)</f>
        <v>0.0221721926918706</v>
      </c>
      <c r="O31" s="9" t="n">
        <f aca="false">IF(O$21=0,0,O12/O$21)</f>
        <v>0.0222417125463315</v>
      </c>
    </row>
    <row r="32" customFormat="false" ht="15" hidden="false" customHeight="false" outlineLevel="0" collapsed="false">
      <c r="A32" s="5" t="str">
        <f aca="false">A13</f>
        <v>Desktop</v>
      </c>
      <c r="B32" s="2" t="str">
        <f aca="false">B13</f>
        <v>DESKTOP</v>
      </c>
      <c r="C32" s="9" t="n">
        <f aca="false">IF(C$21=0,0,C13/C$21)</f>
        <v>0.0217609460916198</v>
      </c>
      <c r="D32" s="9" t="n">
        <f aca="false">IF(D$21=0,0,D13/D$21)</f>
        <v>0.0218437963180988</v>
      </c>
      <c r="E32" s="9" t="n">
        <f aca="false">IF(E$21=0,0,E13/E$21)</f>
        <v>0.021801403898888</v>
      </c>
      <c r="F32" s="9" t="n">
        <f aca="false">IF(F$21=0,0,F13/F$21)</f>
        <v>0.0220001166391973</v>
      </c>
      <c r="G32" s="9" t="n">
        <f aca="false">IF(G$21=0,0,G13/G$21)</f>
        <v>0.0217718305552024</v>
      </c>
      <c r="H32" s="9" t="n">
        <f aca="false">IF(H$21=0,0,H13/H$21)</f>
        <v>0.0216426828787221</v>
      </c>
      <c r="I32" s="9" t="n">
        <f aca="false">IF(I$21=0,0,I13/I$21)</f>
        <v>0.0214003414540709</v>
      </c>
      <c r="J32" s="9" t="n">
        <f aca="false">IF(J$21=0,0,J13/J$21)</f>
        <v>0.0211594777761322</v>
      </c>
      <c r="K32" s="9" t="n">
        <f aca="false">IF(K$21=0,0,K13/K$21)</f>
        <v>0.0209755590973871</v>
      </c>
      <c r="L32" s="9" t="n">
        <f aca="false">IF(L$21=0,0,L13/L$21)</f>
        <v>0.0207696572877916</v>
      </c>
      <c r="M32" s="9" t="n">
        <f aca="false">IF(M$21=0,0,M13/M$21)</f>
        <v>0.020595405787876</v>
      </c>
      <c r="N32" s="9" t="n">
        <f aca="false">IF(N$21=0,0,N13/N$21)</f>
        <v>0.020432320210335</v>
      </c>
      <c r="O32" s="9" t="n">
        <f aca="false">IF(O$21=0,0,O13/O$21)</f>
        <v>0.0206295173550347</v>
      </c>
    </row>
    <row r="33" customFormat="false" ht="15" hidden="false" customHeight="false" outlineLevel="0" collapsed="false">
      <c r="A33" s="5" t="str">
        <f aca="false">A14</f>
        <v>TIM</v>
      </c>
      <c r="B33" s="2" t="str">
        <f aca="false">B14</f>
        <v>TELECOM ITALIA</v>
      </c>
      <c r="C33" s="9" t="n">
        <f aca="false">IF(C$21=0,0,C14/C$21)</f>
        <v>0.0149803996621508</v>
      </c>
      <c r="D33" s="9" t="n">
        <f aca="false">IF(D$21=0,0,D14/D$21)</f>
        <v>0.0151195435076291</v>
      </c>
      <c r="E33" s="9" t="n">
        <f aca="false">IF(E$21=0,0,E14/E$21)</f>
        <v>0.015154798511323</v>
      </c>
      <c r="F33" s="9" t="n">
        <f aca="false">IF(F$21=0,0,F14/F$21)</f>
        <v>0.0154757732352541</v>
      </c>
      <c r="G33" s="9" t="n">
        <f aca="false">IF(G$21=0,0,G14/G$21)</f>
        <v>0.0154490578987251</v>
      </c>
      <c r="H33" s="9" t="n">
        <f aca="false">IF(H$21=0,0,H14/H$21)</f>
        <v>0.015517088835018</v>
      </c>
      <c r="I33" s="9" t="n">
        <f aca="false">IF(I$21=0,0,I14/I$21)</f>
        <v>0.0155531716426833</v>
      </c>
      <c r="J33" s="9" t="n">
        <f aca="false">IF(J$21=0,0,J14/J$21)</f>
        <v>0.0155691860702137</v>
      </c>
      <c r="K33" s="9" t="n">
        <f aca="false">IF(K$21=0,0,K14/K$21)</f>
        <v>0.0155692942375075</v>
      </c>
      <c r="L33" s="9" t="n">
        <f aca="false">IF(L$21=0,0,L14/L$21)</f>
        <v>0.0155975584591837</v>
      </c>
      <c r="M33" s="9" t="n">
        <f aca="false">IF(M$21=0,0,M14/M$21)</f>
        <v>0.0155606833451167</v>
      </c>
      <c r="N33" s="9" t="n">
        <f aca="false">IF(N$21=0,0,N14/N$21)</f>
        <v>0.0156625013308608</v>
      </c>
      <c r="O33" s="9" t="n">
        <f aca="false">IF(O$21=0,0,O14/O$21)</f>
        <v>0.0160620484156371</v>
      </c>
    </row>
    <row r="34" customFormat="false" ht="15" hidden="false" customHeight="false" outlineLevel="0" collapsed="false">
      <c r="A34" s="5" t="str">
        <f aca="false">A15</f>
        <v>Unifique</v>
      </c>
      <c r="B34" s="2" t="str">
        <f aca="false">B15</f>
        <v>UNIFIQUE</v>
      </c>
      <c r="C34" s="9" t="n">
        <f aca="false">IF(C$21=0,0,C15/C$21)</f>
        <v>0.0149837761828878</v>
      </c>
      <c r="D34" s="9" t="n">
        <f aca="false">IF(D$21=0,0,D15/D$21)</f>
        <v>0.0150104680703348</v>
      </c>
      <c r="E34" s="9" t="n">
        <f aca="false">IF(E$21=0,0,E15/E$21)</f>
        <v>0.0149661475410103</v>
      </c>
      <c r="F34" s="9" t="n">
        <f aca="false">IF(F$21=0,0,F15/F$21)</f>
        <v>0.0156035261330194</v>
      </c>
      <c r="G34" s="9" t="n">
        <f aca="false">IF(G$21=0,0,G15/G$21)</f>
        <v>0.015648223200138</v>
      </c>
      <c r="H34" s="9" t="n">
        <f aca="false">IF(H$21=0,0,H15/H$21)</f>
        <v>0.0156199433909582</v>
      </c>
      <c r="I34" s="9" t="n">
        <f aca="false">IF(I$21=0,0,I15/I$21)</f>
        <v>0.0155318276635045</v>
      </c>
      <c r="J34" s="9" t="n">
        <f aca="false">IF(J$21=0,0,J15/J$21)</f>
        <v>0.0154433732247275</v>
      </c>
      <c r="K34" s="9" t="n">
        <f aca="false">IF(K$21=0,0,K15/K$21)</f>
        <v>0.0153836878620714</v>
      </c>
      <c r="L34" s="9" t="n">
        <f aca="false">IF(L$21=0,0,L15/L$21)</f>
        <v>0.0152923719124364</v>
      </c>
      <c r="M34" s="9" t="n">
        <f aca="false">IF(M$21=0,0,M15/M$21)</f>
        <v>0.0151988041937675</v>
      </c>
      <c r="N34" s="9" t="n">
        <f aca="false">IF(N$21=0,0,N15/N$21)</f>
        <v>0.0151841416907597</v>
      </c>
      <c r="O34" s="9" t="n">
        <f aca="false">IF(O$21=0,0,O15/O$21)</f>
        <v>0.0154082228155839</v>
      </c>
    </row>
    <row r="35" customFormat="false" ht="15" hidden="false" customHeight="false" outlineLevel="0" collapsed="false">
      <c r="A35" s="5" t="str">
        <f aca="false">A16</f>
        <v>Algar</v>
      </c>
      <c r="B35" s="2" t="str">
        <f aca="false">B16</f>
        <v>ALGAR (CTBC TELECOM)</v>
      </c>
      <c r="C35" s="9" t="n">
        <f aca="false">IF(C$21=0,0,C16/C$21)</f>
        <v>0.0152271411964422</v>
      </c>
      <c r="D35" s="9" t="n">
        <f aca="false">IF(D$21=0,0,D16/D$21)</f>
        <v>0.0151379718610891</v>
      </c>
      <c r="E35" s="9" t="n">
        <f aca="false">IF(E$21=0,0,E16/E$21)</f>
        <v>0.0151605316488543</v>
      </c>
      <c r="F35" s="9" t="n">
        <f aca="false">IF(F$21=0,0,F16/F$21)</f>
        <v>0.0153250459501411</v>
      </c>
      <c r="G35" s="9" t="n">
        <f aca="false">IF(G$21=0,0,G16/G$21)</f>
        <v>0.0151687805586541</v>
      </c>
      <c r="H35" s="9" t="n">
        <f aca="false">IF(H$21=0,0,H16/H$21)</f>
        <v>0.0150426578705966</v>
      </c>
      <c r="I35" s="9" t="n">
        <f aca="false">IF(I$21=0,0,I16/I$21)</f>
        <v>0.0148735120368175</v>
      </c>
      <c r="J35" s="9" t="n">
        <f aca="false">IF(J$21=0,0,J16/J$21)</f>
        <v>0.0147579924369439</v>
      </c>
      <c r="K35" s="9" t="n">
        <f aca="false">IF(K$21=0,0,K16/K$21)</f>
        <v>0.0146433707316589</v>
      </c>
      <c r="L35" s="9" t="n">
        <f aca="false">IF(L$21=0,0,L16/L$21)</f>
        <v>0.0145150804627618</v>
      </c>
      <c r="M35" s="9" t="n">
        <f aca="false">IF(M$21=0,0,M16/M$21)</f>
        <v>0.0143698175243992</v>
      </c>
      <c r="N35" s="9" t="n">
        <f aca="false">IF(N$21=0,0,N16/N$21)</f>
        <v>0.0142456332929852</v>
      </c>
      <c r="O35" s="9" t="n">
        <f aca="false">IF(O$21=0,0,O16/O$21)</f>
        <v>0.0144045455906898</v>
      </c>
    </row>
    <row r="36" customFormat="false" ht="15" hidden="false" customHeight="false" outlineLevel="0" collapsed="false">
      <c r="A36" s="5" t="str">
        <f aca="false">A17</f>
        <v>Alares</v>
      </c>
      <c r="B36" s="2" t="str">
        <f aca="false">B17</f>
        <v>ALARES</v>
      </c>
      <c r="C36" s="9" t="n">
        <f aca="false">IF(C$21=0,0,C17/C$21)</f>
        <v>0.0145528043765987</v>
      </c>
      <c r="D36" s="9" t="n">
        <f aca="false">IF(D$21=0,0,D17/D$21)</f>
        <v>0.0145286513868457</v>
      </c>
      <c r="E36" s="9" t="n">
        <f aca="false">IF(E$21=0,0,E17/E$21)</f>
        <v>0.014893696597949</v>
      </c>
      <c r="F36" s="9" t="n">
        <f aca="false">IF(F$21=0,0,F17/F$21)</f>
        <v>0.0149897947990032</v>
      </c>
      <c r="G36" s="9" t="n">
        <f aca="false">IF(G$21=0,0,G17/G$21)</f>
        <v>0.0148196328056748</v>
      </c>
      <c r="H36" s="9" t="n">
        <f aca="false">IF(H$21=0,0,H17/H$21)</f>
        <v>0.0142617941039808</v>
      </c>
      <c r="I36" s="9" t="n">
        <f aca="false">IF(I$21=0,0,I17/I$21)</f>
        <v>0.0140833419860585</v>
      </c>
      <c r="J36" s="9" t="n">
        <f aca="false">IF(J$21=0,0,J17/J$21)</f>
        <v>0.0139414988344543</v>
      </c>
      <c r="K36" s="9" t="n">
        <f aca="false">IF(K$21=0,0,K17/K$21)</f>
        <v>0.0138191543618805</v>
      </c>
      <c r="L36" s="9" t="n">
        <f aca="false">IF(L$21=0,0,L17/L$21)</f>
        <v>0.0136795198356809</v>
      </c>
      <c r="M36" s="9" t="n">
        <f aca="false">IF(M$21=0,0,M17/M$21)</f>
        <v>0.0135118200981511</v>
      </c>
      <c r="N36" s="9" t="n">
        <f aca="false">IF(N$21=0,0,N17/N$21)</f>
        <v>0.0136841310847963</v>
      </c>
      <c r="O36" s="9" t="n">
        <f aca="false">IF(O$21=0,0,O17/O$21)</f>
        <v>0.0137859746152194</v>
      </c>
    </row>
    <row r="37" customFormat="false" ht="15" hidden="false" customHeight="false" outlineLevel="0" collapsed="false">
      <c r="A37" s="5" t="str">
        <f aca="false">A18</f>
        <v>Sky/Zaaz</v>
      </c>
      <c r="B37" s="2" t="str">
        <f aca="false">B18</f>
        <v>SKY/ZAAZ</v>
      </c>
      <c r="C37" s="9" t="n">
        <f aca="false">IF(C$21=0,0,C18/C$21)</f>
        <v>0</v>
      </c>
      <c r="D37" s="9" t="n">
        <f aca="false">IF(D$21=0,0,D18/D$21)</f>
        <v>0</v>
      </c>
      <c r="E37" s="9" t="n">
        <f aca="false">IF(E$21=0,0,E18/E$21)</f>
        <v>0</v>
      </c>
      <c r="F37" s="9" t="n">
        <f aca="false">IF(F$21=0,0,F18/F$21)</f>
        <v>0</v>
      </c>
      <c r="G37" s="9" t="n">
        <f aca="false">IF(G$21=0,0,G18/G$21)</f>
        <v>0</v>
      </c>
      <c r="H37" s="9" t="n">
        <f aca="false">IF(H$21=0,0,H18/H$21)</f>
        <v>0.00861175913002952</v>
      </c>
      <c r="I37" s="9" t="n">
        <f aca="false">IF(I$21=0,0,I18/I$21)</f>
        <v>0.008747595171209</v>
      </c>
      <c r="J37" s="9" t="n">
        <f aca="false">IF(J$21=0,0,J18/J$21)</f>
        <v>0.00867631285634067</v>
      </c>
      <c r="K37" s="9" t="n">
        <f aca="false">IF(K$21=0,0,K18/K$21)</f>
        <v>0.00861649544426259</v>
      </c>
      <c r="L37" s="9" t="n">
        <f aca="false">IF(L$21=0,0,L18/L$21)</f>
        <v>0.00857030950465957</v>
      </c>
      <c r="M37" s="9" t="n">
        <f aca="false">IF(M$21=0,0,M18/M$21)</f>
        <v>0.00863020235397745</v>
      </c>
      <c r="N37" s="9" t="n">
        <f aca="false">IF(N$21=0,0,N18/N$21)</f>
        <v>0.0146700593927128</v>
      </c>
      <c r="O37" s="9" t="n">
        <f aca="false">IF(O$21=0,0,O18/O$21)</f>
        <v>0.00877805605689133</v>
      </c>
    </row>
    <row r="38" customFormat="false" ht="15" hidden="false" customHeight="false" outlineLevel="0" collapsed="false">
      <c r="A38" s="5" t="str">
        <f aca="false">A19</f>
        <v>Ligga Telecom</v>
      </c>
      <c r="B38" s="2" t="str">
        <f aca="false">B19</f>
        <v>LIGGA TELECOM</v>
      </c>
      <c r="C38" s="9" t="n">
        <f aca="false">IF(C$21=0,0,C19/C$21)</f>
        <v>0.00622979026860077</v>
      </c>
      <c r="D38" s="9" t="n">
        <f aca="false">IF(D$21=0,0,D19/D$21)</f>
        <v>0.00623589232985681</v>
      </c>
      <c r="E38" s="9" t="n">
        <f aca="false">IF(E$21=0,0,E19/E$21)</f>
        <v>0.00620962094267032</v>
      </c>
      <c r="F38" s="9" t="n">
        <f aca="false">IF(F$21=0,0,F19/F$21)</f>
        <v>0.00626169568942739</v>
      </c>
      <c r="G38" s="9" t="n">
        <f aca="false">IF(G$21=0,0,G19/G$21)</f>
        <v>0.00620024822555471</v>
      </c>
      <c r="H38" s="9" t="n">
        <f aca="false">IF(H$21=0,0,H19/H$21)</f>
        <v>0.00619220597756514</v>
      </c>
      <c r="I38" s="9" t="n">
        <f aca="false">IF(I$21=0,0,I19/I$21)</f>
        <v>0.00615471795286548</v>
      </c>
      <c r="J38" s="9" t="n">
        <f aca="false">IF(J$21=0,0,J19/J$21)</f>
        <v>0.00612685216594035</v>
      </c>
      <c r="K38" s="9" t="n">
        <f aca="false">IF(K$21=0,0,K19/K$21)</f>
        <v>0.00610354333583027</v>
      </c>
      <c r="L38" s="9" t="n">
        <f aca="false">IF(L$21=0,0,L19/L$21)</f>
        <v>0.00607352369511428</v>
      </c>
      <c r="M38" s="9" t="n">
        <f aca="false">IF(M$21=0,0,M19/M$21)</f>
        <v>0.00601677947845663</v>
      </c>
      <c r="N38" s="9" t="n">
        <f aca="false">IF(N$21=0,0,N19/N$21)</f>
        <v>0.005985702206511</v>
      </c>
      <c r="O38" s="9" t="n">
        <f aca="false">IF(O$21=0,0,O19/O$21)</f>
        <v>0.006122368888293</v>
      </c>
    </row>
    <row r="39" customFormat="false" ht="15" hidden="false" customHeight="false" outlineLevel="0" collapsed="false">
      <c r="A39" s="5" t="str">
        <f aca="false">A20</f>
        <v>Demais grupos</v>
      </c>
      <c r="B39" s="2" t="str">
        <f aca="false">B20</f>
        <v>DEMAIS GRUPOS</v>
      </c>
      <c r="C39" s="9" t="n">
        <f aca="false">IF(C$21=0,0,C20/C$21)</f>
        <v>0.0136383148007669</v>
      </c>
      <c r="D39" s="9" t="n">
        <f aca="false">IF(D$21=0,0,D20/D$21)</f>
        <v>0.0135724002979597</v>
      </c>
      <c r="E39" s="9" t="n">
        <f aca="false">IF(E$21=0,0,E20/E$21)</f>
        <v>0.0134216185873455</v>
      </c>
      <c r="F39" s="9" t="n">
        <f aca="false">IF(F$21=0,0,F20/F$21)</f>
        <v>0.0134664344109754</v>
      </c>
      <c r="G39" s="9" t="n">
        <f aca="false">IF(G$21=0,0,G20/G$21)</f>
        <v>0.0132604751672672</v>
      </c>
      <c r="H39" s="9" t="n">
        <f aca="false">IF(H$21=0,0,H20/H$21)</f>
        <v>0.00921583267540619</v>
      </c>
      <c r="I39" s="9" t="n">
        <f aca="false">IF(I$21=0,0,I20/I$21)</f>
        <v>0.00912000775397537</v>
      </c>
      <c r="J39" s="9" t="n">
        <f aca="false">IF(J$21=0,0,J20/J$21)</f>
        <v>0.00907990024755946</v>
      </c>
      <c r="K39" s="9" t="n">
        <f aca="false">IF(K$21=0,0,K20/K$21)</f>
        <v>0.00841390012627576</v>
      </c>
      <c r="L39" s="9" t="n">
        <f aca="false">IF(L$21=0,0,L20/L$21)</f>
        <v>0.00835510454689374</v>
      </c>
      <c r="M39" s="9" t="n">
        <f aca="false">IF(M$21=0,0,M20/M$21)</f>
        <v>0.00812907156960589</v>
      </c>
      <c r="N39" s="9" t="n">
        <f aca="false">IF(N$21=0,0,N20/N$21)</f>
        <v>0.00806745501826784</v>
      </c>
      <c r="O39" s="9" t="n">
        <f aca="false">IF(O$21=0,0,O20/O$21)</f>
        <v>0.00776778046522079</v>
      </c>
    </row>
    <row r="40" customFormat="false" ht="15" hidden="false" customHeight="false" outlineLevel="0" collapsed="false">
      <c r="A40" s="7" t="str">
        <f aca="false">A21</f>
        <v>Total</v>
      </c>
      <c r="C40" s="10" t="n">
        <f aca="false">IF(C$21=0,0,C21/C$21)</f>
        <v>1</v>
      </c>
      <c r="D40" s="10" t="n">
        <f aca="false">IF(D$21=0,0,D21/D$21)</f>
        <v>1</v>
      </c>
      <c r="E40" s="10" t="n">
        <f aca="false">IF(E$21=0,0,E21/E$21)</f>
        <v>1</v>
      </c>
      <c r="F40" s="10" t="n">
        <f aca="false">IF(F$21=0,0,F21/F$21)</f>
        <v>1</v>
      </c>
      <c r="G40" s="10" t="n">
        <f aca="false">IF(G$21=0,0,G21/G$21)</f>
        <v>1</v>
      </c>
      <c r="H40" s="10" t="n">
        <f aca="false">IF(H$21=0,0,H21/H$21)</f>
        <v>1</v>
      </c>
      <c r="I40" s="10" t="n">
        <f aca="false">IF(I$21=0,0,I21/I$21)</f>
        <v>1</v>
      </c>
      <c r="J40" s="10" t="n">
        <f aca="false">IF(J$21=0,0,J21/J$21)</f>
        <v>1</v>
      </c>
      <c r="K40" s="10" t="n">
        <f aca="false">IF(K$21=0,0,K21/K$21)</f>
        <v>1</v>
      </c>
      <c r="L40" s="10" t="n">
        <f aca="false">IF(L$21=0,0,L21/L$21)</f>
        <v>1</v>
      </c>
      <c r="M40" s="10" t="n">
        <f aca="false">IF(M$21=0,0,M21/M$21)</f>
        <v>1</v>
      </c>
      <c r="N40" s="10" t="n">
        <f aca="false">IF(N$21=0,0,N21/N$21)</f>
        <v>1</v>
      </c>
      <c r="O40" s="10" t="n">
        <f aca="false">IF(O$21=0,0,O21/O$21)</f>
        <v>1</v>
      </c>
    </row>
    <row r="42" customFormat="false" ht="15" hidden="false" customHeight="false" outlineLevel="0" collapsed="false">
      <c r="A42" s="3" t="s">
        <v>41</v>
      </c>
      <c r="B42" s="3" t="s">
        <v>3</v>
      </c>
      <c r="C42" s="4" t="s">
        <v>4</v>
      </c>
      <c r="D42" s="4" t="s">
        <v>5</v>
      </c>
      <c r="E42" s="4" t="s">
        <v>6</v>
      </c>
      <c r="F42" s="4" t="s">
        <v>7</v>
      </c>
      <c r="G42" s="4" t="s">
        <v>8</v>
      </c>
      <c r="H42" s="4" t="s">
        <v>9</v>
      </c>
      <c r="I42" s="4" t="s">
        <v>10</v>
      </c>
      <c r="J42" s="4" t="s">
        <v>11</v>
      </c>
      <c r="K42" s="4" t="s">
        <v>12</v>
      </c>
      <c r="L42" s="4" t="s">
        <v>13</v>
      </c>
      <c r="M42" s="4" t="s">
        <v>14</v>
      </c>
      <c r="N42" s="4" t="s">
        <v>15</v>
      </c>
      <c r="O42" s="4" t="s">
        <v>16</v>
      </c>
    </row>
    <row r="43" customFormat="false" ht="15" hidden="false" customHeight="false" outlineLevel="0" collapsed="false">
      <c r="A43" s="5" t="str">
        <f aca="false">A5</f>
        <v>Outros</v>
      </c>
      <c r="B43" s="2" t="str">
        <f aca="false">B5</f>
        <v>OUTROS</v>
      </c>
      <c r="D43" s="11" t="n">
        <f aca="false">D5-C5</f>
        <v>-158560</v>
      </c>
      <c r="E43" s="11" t="n">
        <f aca="false">E5-D5</f>
        <v>364285</v>
      </c>
      <c r="F43" s="11" t="n">
        <f aca="false">F5-E5</f>
        <v>-420494</v>
      </c>
      <c r="G43" s="11" t="n">
        <f aca="false">G5-F5</f>
        <v>555622</v>
      </c>
      <c r="H43" s="11" t="n">
        <f aca="false">H5-G5</f>
        <v>118027</v>
      </c>
      <c r="I43" s="11" t="n">
        <f aca="false">I5-H5</f>
        <v>578311</v>
      </c>
      <c r="J43" s="11" t="n">
        <f aca="false">J5-I5</f>
        <v>466212</v>
      </c>
      <c r="K43" s="11" t="n">
        <f aca="false">K5-J5</f>
        <v>376098</v>
      </c>
      <c r="L43" s="11" t="n">
        <f aca="false">L5-K5</f>
        <v>380212</v>
      </c>
      <c r="M43" s="11" t="n">
        <f aca="false">M5-L5</f>
        <v>420630</v>
      </c>
      <c r="N43" s="11" t="n">
        <f aca="false">N5-M5</f>
        <v>-105707</v>
      </c>
      <c r="O43" s="11" t="n">
        <f aca="false">O5-N5</f>
        <v>-489386</v>
      </c>
    </row>
    <row r="44" customFormat="false" ht="15" hidden="false" customHeight="false" outlineLevel="0" collapsed="false">
      <c r="A44" s="5" t="str">
        <f aca="false">A6</f>
        <v>Claro</v>
      </c>
      <c r="B44" s="2" t="str">
        <f aca="false">B6</f>
        <v>TELECOM AMERICAS</v>
      </c>
      <c r="D44" s="11" t="n">
        <f aca="false">D6-C6</f>
        <v>31480</v>
      </c>
      <c r="E44" s="11" t="n">
        <f aca="false">E6-D6</f>
        <v>38618</v>
      </c>
      <c r="F44" s="11" t="n">
        <f aca="false">F6-E6</f>
        <v>40200</v>
      </c>
      <c r="G44" s="11" t="n">
        <f aca="false">G6-F6</f>
        <v>34057</v>
      </c>
      <c r="H44" s="11" t="n">
        <f aca="false">H6-G6</f>
        <v>38017</v>
      </c>
      <c r="I44" s="11" t="n">
        <f aca="false">I6-H6</f>
        <v>26876</v>
      </c>
      <c r="J44" s="11" t="n">
        <f aca="false">J6-I6</f>
        <v>44978</v>
      </c>
      <c r="K44" s="11" t="n">
        <f aca="false">K6-J6</f>
        <v>32473</v>
      </c>
      <c r="L44" s="11" t="n">
        <f aca="false">L6-K6</f>
        <v>24500</v>
      </c>
      <c r="M44" s="11" t="n">
        <f aca="false">M6-L6</f>
        <v>20721</v>
      </c>
      <c r="N44" s="11" t="n">
        <f aca="false">N6-M6</f>
        <v>37630</v>
      </c>
      <c r="O44" s="11" t="n">
        <f aca="false">O6-N6</f>
        <v>34344</v>
      </c>
    </row>
    <row r="45" customFormat="false" ht="15" hidden="false" customHeight="false" outlineLevel="0" collapsed="false">
      <c r="A45" s="5" t="str">
        <f aca="false">A7</f>
        <v>Vivo</v>
      </c>
      <c r="B45" s="2" t="str">
        <f aca="false">B7</f>
        <v>TELEFONICA</v>
      </c>
      <c r="D45" s="11" t="n">
        <f aca="false">D7-C7</f>
        <v>60999</v>
      </c>
      <c r="E45" s="11" t="n">
        <f aca="false">E7-D7</f>
        <v>64635</v>
      </c>
      <c r="F45" s="11" t="n">
        <f aca="false">F7-E7</f>
        <v>63031</v>
      </c>
      <c r="G45" s="11" t="n">
        <f aca="false">G7-F7</f>
        <v>47886</v>
      </c>
      <c r="H45" s="11" t="n">
        <f aca="false">H7-G7</f>
        <v>56407</v>
      </c>
      <c r="I45" s="11" t="n">
        <f aca="false">I7-H7</f>
        <v>45583</v>
      </c>
      <c r="J45" s="11" t="n">
        <f aca="false">J7-I7</f>
        <v>68717</v>
      </c>
      <c r="K45" s="11" t="n">
        <f aca="false">K7-J7</f>
        <v>65560</v>
      </c>
      <c r="L45" s="11" t="n">
        <f aca="false">L7-K7</f>
        <v>74118</v>
      </c>
      <c r="M45" s="11" t="n">
        <f aca="false">M7-L7</f>
        <v>56913</v>
      </c>
      <c r="N45" s="11" t="n">
        <f aca="false">N7-M7</f>
        <v>70055</v>
      </c>
      <c r="O45" s="11" t="n">
        <f aca="false">O7-N7</f>
        <v>64281</v>
      </c>
    </row>
    <row r="46" customFormat="false" ht="15" hidden="false" customHeight="false" outlineLevel="0" collapsed="false">
      <c r="A46" s="5" t="str">
        <f aca="false">A8</f>
        <v>Oi</v>
      </c>
      <c r="B46" s="2" t="str">
        <f aca="false">B8</f>
        <v>OI</v>
      </c>
      <c r="D46" s="11" t="n">
        <f aca="false">D8-C8</f>
        <v>-72839</v>
      </c>
      <c r="E46" s="11" t="n">
        <f aca="false">E8-D8</f>
        <v>-78650</v>
      </c>
      <c r="F46" s="11" t="n">
        <f aca="false">F8-E8</f>
        <v>-107298</v>
      </c>
      <c r="G46" s="11" t="n">
        <f aca="false">G8-F8</f>
        <v>-63052</v>
      </c>
      <c r="H46" s="11" t="n">
        <f aca="false">H8-G8</f>
        <v>-70184</v>
      </c>
      <c r="I46" s="11" t="n">
        <f aca="false">I8-H8</f>
        <v>-44472</v>
      </c>
      <c r="J46" s="11" t="n">
        <f aca="false">J8-I8</f>
        <v>-48921</v>
      </c>
      <c r="K46" s="11" t="n">
        <f aca="false">K8-J8</f>
        <v>-18792</v>
      </c>
      <c r="L46" s="11" t="n">
        <f aca="false">L8-K8</f>
        <v>-52143</v>
      </c>
      <c r="M46" s="11" t="n">
        <f aca="false">M8-L8</f>
        <v>-23818</v>
      </c>
      <c r="N46" s="11" t="n">
        <f aca="false">N8-M8</f>
        <v>9839</v>
      </c>
      <c r="O46" s="11" t="n">
        <f aca="false">O8-N8</f>
        <v>20736</v>
      </c>
    </row>
    <row r="47" customFormat="false" ht="15" hidden="false" customHeight="false" outlineLevel="0" collapsed="false">
      <c r="A47" s="5" t="str">
        <f aca="false">A9</f>
        <v>Brisanet</v>
      </c>
      <c r="B47" s="2" t="str">
        <f aca="false">B9</f>
        <v>BRISANET</v>
      </c>
      <c r="D47" s="11" t="n">
        <f aca="false">D9-C9</f>
        <v>4684</v>
      </c>
      <c r="E47" s="11" t="n">
        <f aca="false">E9-D9</f>
        <v>6753</v>
      </c>
      <c r="F47" s="11" t="n">
        <f aca="false">F9-E9</f>
        <v>4289</v>
      </c>
      <c r="G47" s="11" t="n">
        <f aca="false">G9-F9</f>
        <v>4237</v>
      </c>
      <c r="H47" s="11" t="n">
        <f aca="false">H9-G9</f>
        <v>4681</v>
      </c>
      <c r="I47" s="11" t="n">
        <f aca="false">I9-H9</f>
        <v>4101</v>
      </c>
      <c r="J47" s="11" t="n">
        <f aca="false">J9-I9</f>
        <v>4271</v>
      </c>
      <c r="K47" s="11" t="n">
        <f aca="false">K9-J9</f>
        <v>5037</v>
      </c>
      <c r="L47" s="11" t="n">
        <f aca="false">L9-K9</f>
        <v>6043</v>
      </c>
      <c r="M47" s="11" t="n">
        <f aca="false">M9-L9</f>
        <v>1476</v>
      </c>
      <c r="N47" s="11" t="n">
        <f aca="false">N9-M9</f>
        <v>4166</v>
      </c>
      <c r="O47" s="11" t="n">
        <f aca="false">O9-N9</f>
        <v>3122</v>
      </c>
    </row>
    <row r="48" customFormat="false" ht="15" hidden="false" customHeight="false" outlineLevel="0" collapsed="false">
      <c r="A48" s="5" t="str">
        <f aca="false">A10</f>
        <v>Brasil Tecpar</v>
      </c>
      <c r="B48" s="2" t="str">
        <f aca="false">B10</f>
        <v>BRASIL TECPAR</v>
      </c>
      <c r="D48" s="11" t="n">
        <f aca="false">D10-C10</f>
        <v>230969</v>
      </c>
      <c r="E48" s="11" t="n">
        <f aca="false">E10-D10</f>
        <v>6403</v>
      </c>
      <c r="F48" s="11" t="n">
        <f aca="false">F10-E10</f>
        <v>7347</v>
      </c>
      <c r="G48" s="11" t="n">
        <f aca="false">G10-F10</f>
        <v>20848</v>
      </c>
      <c r="H48" s="11" t="n">
        <f aca="false">H10-G10</f>
        <v>14508</v>
      </c>
      <c r="I48" s="11" t="n">
        <f aca="false">I10-H10</f>
        <v>4890</v>
      </c>
      <c r="J48" s="11" t="n">
        <f aca="false">J10-I10</f>
        <v>7560</v>
      </c>
      <c r="K48" s="11" t="n">
        <f aca="false">K10-J10</f>
        <v>5553</v>
      </c>
      <c r="L48" s="11" t="n">
        <f aca="false">L10-K10</f>
        <v>-7165</v>
      </c>
      <c r="M48" s="11" t="n">
        <f aca="false">M10-L10</f>
        <v>2754</v>
      </c>
      <c r="N48" s="11" t="n">
        <f aca="false">N10-M10</f>
        <v>8350</v>
      </c>
      <c r="O48" s="11" t="n">
        <f aca="false">O10-N10</f>
        <v>2746</v>
      </c>
    </row>
    <row r="49" customFormat="false" ht="15" hidden="false" customHeight="false" outlineLevel="0" collapsed="false">
      <c r="A49" s="5" t="str">
        <f aca="false">A11</f>
        <v>Vero</v>
      </c>
      <c r="B49" s="2" t="str">
        <f aca="false">B11</f>
        <v>VERO</v>
      </c>
      <c r="D49" s="11" t="n">
        <f aca="false">D11-C11</f>
        <v>-6189</v>
      </c>
      <c r="E49" s="11" t="n">
        <f aca="false">E11-D11</f>
        <v>-4892</v>
      </c>
      <c r="F49" s="11" t="n">
        <f aca="false">F11-E11</f>
        <v>-6137</v>
      </c>
      <c r="G49" s="11" t="n">
        <f aca="false">G11-F11</f>
        <v>-3419</v>
      </c>
      <c r="H49" s="11" t="n">
        <f aca="false">H11-G11</f>
        <v>-7484</v>
      </c>
      <c r="I49" s="11" t="n">
        <f aca="false">I11-H11</f>
        <v>-12267</v>
      </c>
      <c r="J49" s="11" t="n">
        <f aca="false">J11-I11</f>
        <v>-10229</v>
      </c>
      <c r="K49" s="11" t="n">
        <f aca="false">K11-J11</f>
        <v>-10321</v>
      </c>
      <c r="L49" s="11" t="n">
        <f aca="false">L11-K11</f>
        <v>-3124</v>
      </c>
      <c r="M49" s="11" t="n">
        <f aca="false">M11-L11</f>
        <v>-6342</v>
      </c>
      <c r="N49" s="11" t="n">
        <f aca="false">N11-M11</f>
        <v>-6418</v>
      </c>
      <c r="O49" s="11" t="n">
        <f aca="false">O11-N11</f>
        <v>-7092</v>
      </c>
    </row>
    <row r="50" customFormat="false" ht="15" hidden="false" customHeight="false" outlineLevel="0" collapsed="false">
      <c r="A50" s="5" t="str">
        <f aca="false">A12</f>
        <v>Giga Mais Fibra</v>
      </c>
      <c r="B50" s="2" t="str">
        <f aca="false">B12</f>
        <v>GIGA MAIS FIBRA</v>
      </c>
      <c r="D50" s="11" t="n">
        <f aca="false">D12-C12</f>
        <v>-30898</v>
      </c>
      <c r="E50" s="11" t="n">
        <f aca="false">E12-D12</f>
        <v>-18249</v>
      </c>
      <c r="F50" s="11" t="n">
        <f aca="false">F12-E12</f>
        <v>-28256</v>
      </c>
      <c r="G50" s="11" t="n">
        <f aca="false">G12-F12</f>
        <v>-32033</v>
      </c>
      <c r="H50" s="11" t="n">
        <f aca="false">H12-G12</f>
        <v>-24844</v>
      </c>
      <c r="I50" s="11" t="n">
        <f aca="false">I12-H12</f>
        <v>-21329</v>
      </c>
      <c r="J50" s="11" t="n">
        <f aca="false">J12-I12</f>
        <v>-22271</v>
      </c>
      <c r="K50" s="11" t="n">
        <f aca="false">K12-J12</f>
        <v>-19059</v>
      </c>
      <c r="L50" s="11" t="n">
        <f aca="false">L12-K12</f>
        <v>-15654</v>
      </c>
      <c r="M50" s="11" t="n">
        <f aca="false">M12-L12</f>
        <v>-16476</v>
      </c>
      <c r="N50" s="11" t="n">
        <f aca="false">N12-M12</f>
        <v>-13054</v>
      </c>
      <c r="O50" s="11" t="n">
        <f aca="false">O12-N12</f>
        <v>-12674</v>
      </c>
    </row>
    <row r="51" customFormat="false" ht="15" hidden="false" customHeight="false" outlineLevel="0" collapsed="false">
      <c r="A51" s="5" t="str">
        <f aca="false">A13</f>
        <v>Desktop</v>
      </c>
      <c r="B51" s="2" t="str">
        <f aca="false">B13</f>
        <v>DESKTOP</v>
      </c>
      <c r="D51" s="11" t="n">
        <f aca="false">D13-C13</f>
        <v>6090</v>
      </c>
      <c r="E51" s="11" t="n">
        <f aca="false">E13-D13</f>
        <v>7081</v>
      </c>
      <c r="F51" s="11" t="n">
        <f aca="false">F13-E13</f>
        <v>2069</v>
      </c>
      <c r="G51" s="11" t="n">
        <f aca="false">G13-F13</f>
        <v>82</v>
      </c>
      <c r="H51" s="11" t="n">
        <f aca="false">H13-G13</f>
        <v>1047</v>
      </c>
      <c r="I51" s="11" t="n">
        <f aca="false">I13-H13</f>
        <v>-472</v>
      </c>
      <c r="J51" s="11" t="n">
        <f aca="false">J13-I13</f>
        <v>-2484</v>
      </c>
      <c r="K51" s="11" t="n">
        <f aca="false">K13-J13</f>
        <v>-1905</v>
      </c>
      <c r="L51" s="11" t="n">
        <f aca="false">L13-K13</f>
        <v>-3292</v>
      </c>
      <c r="M51" s="11" t="n">
        <f aca="false">M13-L13</f>
        <v>-731</v>
      </c>
      <c r="N51" s="11" t="n">
        <f aca="false">N13-M13</f>
        <v>-1491</v>
      </c>
      <c r="O51" s="11" t="n">
        <f aca="false">O13-N13</f>
        <v>-3972</v>
      </c>
    </row>
    <row r="52" customFormat="false" ht="15" hidden="false" customHeight="false" outlineLevel="0" collapsed="false">
      <c r="A52" s="5" t="str">
        <f aca="false">A14</f>
        <v>TIM</v>
      </c>
      <c r="B52" s="2" t="str">
        <f aca="false">B14</f>
        <v>TELECOM ITALIA</v>
      </c>
      <c r="D52" s="11" t="n">
        <f aca="false">D14-C14</f>
        <v>8697</v>
      </c>
      <c r="E52" s="11" t="n">
        <f aca="false">E14-D14</f>
        <v>8473</v>
      </c>
      <c r="F52" s="11" t="n">
        <f aca="false">F14-E14</f>
        <v>11474</v>
      </c>
      <c r="G52" s="11" t="n">
        <f aca="false">G14-F14</f>
        <v>7483</v>
      </c>
      <c r="H52" s="11" t="n">
        <f aca="false">H14-G14</f>
        <v>9660</v>
      </c>
      <c r="I52" s="11" t="n">
        <f aca="false">I14-H14</f>
        <v>11508</v>
      </c>
      <c r="J52" s="11" t="n">
        <f aca="false">J14-I14</f>
        <v>9082</v>
      </c>
      <c r="K52" s="11" t="n">
        <f aca="false">K14-J14</f>
        <v>6371</v>
      </c>
      <c r="L52" s="11" t="n">
        <f aca="false">L14-K14</f>
        <v>8024</v>
      </c>
      <c r="M52" s="11" t="n">
        <f aca="false">M14-L14</f>
        <v>4926</v>
      </c>
      <c r="N52" s="11" t="n">
        <f aca="false">N14-M14</f>
        <v>12071</v>
      </c>
      <c r="O52" s="11" t="n">
        <f aca="false">O14-N14</f>
        <v>11335</v>
      </c>
    </row>
    <row r="53" customFormat="false" ht="15" hidden="false" customHeight="false" outlineLevel="0" collapsed="false">
      <c r="A53" s="5" t="str">
        <f aca="false">A15</f>
        <v>Unifique</v>
      </c>
      <c r="B53" s="2" t="str">
        <f aca="false">B15</f>
        <v>UNIFIQUE</v>
      </c>
      <c r="D53" s="11" t="n">
        <f aca="false">D15-C15</f>
        <v>2528</v>
      </c>
      <c r="E53" s="11" t="n">
        <f aca="false">E15-D15</f>
        <v>4026</v>
      </c>
      <c r="F53" s="11" t="n">
        <f aca="false">F15-E15</f>
        <v>28917</v>
      </c>
      <c r="G53" s="11" t="n">
        <f aca="false">G15-F15</f>
        <v>11518</v>
      </c>
      <c r="H53" s="11" t="n">
        <f aca="false">H15-G15</f>
        <v>4357</v>
      </c>
      <c r="I53" s="11" t="n">
        <f aca="false">I15-H15</f>
        <v>4559</v>
      </c>
      <c r="J53" s="11" t="n">
        <f aca="false">J15-I15</f>
        <v>3118</v>
      </c>
      <c r="K53" s="11" t="n">
        <f aca="false">K15-J15</f>
        <v>2888</v>
      </c>
      <c r="L53" s="11" t="n">
        <f aca="false">L15-K15</f>
        <v>1036</v>
      </c>
      <c r="M53" s="11" t="n">
        <f aca="false">M15-L15</f>
        <v>1485</v>
      </c>
      <c r="N53" s="11" t="n">
        <f aca="false">N15-M15</f>
        <v>5098</v>
      </c>
      <c r="O53" s="11" t="n">
        <f aca="false">O15-N15</f>
        <v>1537</v>
      </c>
    </row>
    <row r="54" customFormat="false" ht="15" hidden="false" customHeight="false" outlineLevel="0" collapsed="false">
      <c r="A54" s="5" t="str">
        <f aca="false">A16</f>
        <v>Algar</v>
      </c>
      <c r="B54" s="2" t="str">
        <f aca="false">B16</f>
        <v>ALGAR (CTBC TELECOM)</v>
      </c>
      <c r="D54" s="11" t="n">
        <f aca="false">D16-C16</f>
        <v>-3811</v>
      </c>
      <c r="E54" s="11" t="n">
        <f aca="false">E16-D16</f>
        <v>7779</v>
      </c>
      <c r="F54" s="11" t="n">
        <f aca="false">F16-E16</f>
        <v>2884</v>
      </c>
      <c r="G54" s="11" t="n">
        <f aca="false">G16-F16</f>
        <v>210</v>
      </c>
      <c r="H54" s="11" t="n">
        <f aca="false">H16-G16</f>
        <v>-1289</v>
      </c>
      <c r="I54" s="11" t="n">
        <f aca="false">I16-H16</f>
        <v>-368</v>
      </c>
      <c r="J54" s="11" t="n">
        <f aca="false">J16-I16</f>
        <v>1230</v>
      </c>
      <c r="K54" s="11" t="n">
        <f aca="false">K16-J16</f>
        <v>-545</v>
      </c>
      <c r="L54" s="11" t="n">
        <f aca="false">L16-K16</f>
        <v>-1405</v>
      </c>
      <c r="M54" s="11" t="n">
        <f aca="false">M16-L16</f>
        <v>-1879</v>
      </c>
      <c r="N54" s="11" t="n">
        <f aca="false">N16-M16</f>
        <v>-1650</v>
      </c>
      <c r="O54" s="11" t="n">
        <f aca="false">O16-N16</f>
        <v>-1529</v>
      </c>
    </row>
    <row r="55" customFormat="false" ht="15" hidden="false" customHeight="false" outlineLevel="0" collapsed="false">
      <c r="A55" s="5" t="str">
        <f aca="false">A17</f>
        <v>Alares</v>
      </c>
      <c r="B55" s="2" t="str">
        <f aca="false">B17</f>
        <v>ALARES</v>
      </c>
      <c r="D55" s="11" t="n">
        <f aca="false">D17-C17</f>
        <v>-292</v>
      </c>
      <c r="E55" s="11" t="n">
        <f aca="false">E17-D17</f>
        <v>26453</v>
      </c>
      <c r="F55" s="11" t="n">
        <f aca="false">F17-E17</f>
        <v>-763</v>
      </c>
      <c r="G55" s="11" t="n">
        <f aca="false">G17-F17</f>
        <v>-755</v>
      </c>
      <c r="H55" s="11" t="n">
        <f aca="false">H17-G17</f>
        <v>-25531</v>
      </c>
      <c r="I55" s="11" t="n">
        <f aca="false">I17-H17</f>
        <v>-1370</v>
      </c>
      <c r="J55" s="11" t="n">
        <f aca="false">J17-I17</f>
        <v>-685</v>
      </c>
      <c r="K55" s="11" t="n">
        <f aca="false">K17-J17</f>
        <v>-1322</v>
      </c>
      <c r="L55" s="11" t="n">
        <f aca="false">L17-K17</f>
        <v>-2399</v>
      </c>
      <c r="M55" s="11" t="n">
        <f aca="false">M17-L17</f>
        <v>-3565</v>
      </c>
      <c r="N55" s="11" t="n">
        <f aca="false">N17-M17</f>
        <v>15402</v>
      </c>
      <c r="O55" s="11" t="n">
        <f aca="false">O17-N17</f>
        <v>-4410</v>
      </c>
    </row>
    <row r="56" customFormat="false" ht="15" hidden="false" customHeight="false" outlineLevel="0" collapsed="false">
      <c r="A56" s="5" t="str">
        <f aca="false">A18</f>
        <v>Sky/Zaaz</v>
      </c>
      <c r="B56" s="2" t="str">
        <f aca="false">B18</f>
        <v>SKY/ZAAZ</v>
      </c>
      <c r="D56" s="11" t="n">
        <f aca="false">D18-C18</f>
        <v>0</v>
      </c>
      <c r="E56" s="11" t="n">
        <f aca="false">E18-D18</f>
        <v>0</v>
      </c>
      <c r="F56" s="11" t="n">
        <f aca="false">F18-E18</f>
        <v>0</v>
      </c>
      <c r="G56" s="11" t="n">
        <f aca="false">G18-F18</f>
        <v>0</v>
      </c>
      <c r="H56" s="11" t="n">
        <f aca="false">H18-G18</f>
        <v>480931</v>
      </c>
      <c r="I56" s="11" t="n">
        <f aca="false">I18-H18</f>
        <v>12925</v>
      </c>
      <c r="J56" s="11" t="n">
        <f aca="false">J18-I18</f>
        <v>533</v>
      </c>
      <c r="K56" s="11" t="n">
        <f aca="false">K18-J18</f>
        <v>114</v>
      </c>
      <c r="L56" s="11" t="n">
        <f aca="false">L18-K18</f>
        <v>867</v>
      </c>
      <c r="M56" s="11" t="n">
        <f aca="false">M18-L18</f>
        <v>7376</v>
      </c>
      <c r="N56" s="11" t="n">
        <f aca="false">N18-M18</f>
        <v>357598</v>
      </c>
      <c r="O56" s="11" t="n">
        <f aca="false">O18-N18</f>
        <v>-352155</v>
      </c>
    </row>
    <row r="57" customFormat="false" ht="15" hidden="false" customHeight="false" outlineLevel="0" collapsed="false">
      <c r="A57" s="5" t="str">
        <f aca="false">A19</f>
        <v>Ligga Telecom</v>
      </c>
      <c r="B57" s="2" t="str">
        <f aca="false">B19</f>
        <v>LIGGA TELECOM</v>
      </c>
      <c r="D57" s="11" t="n">
        <f aca="false">D19-C19</f>
        <v>777</v>
      </c>
      <c r="E57" s="11" t="n">
        <f aca="false">E19-D19</f>
        <v>1238</v>
      </c>
      <c r="F57" s="11" t="n">
        <f aca="false">F19-E19</f>
        <v>341</v>
      </c>
      <c r="G57" s="11" t="n">
        <f aca="false">G19-F19</f>
        <v>219</v>
      </c>
      <c r="H57" s="11" t="n">
        <f aca="false">H19-G19</f>
        <v>1903</v>
      </c>
      <c r="I57" s="11" t="n">
        <f aca="false">I19-H19</f>
        <v>1663</v>
      </c>
      <c r="J57" s="11" t="n">
        <f aca="false">J19-I19</f>
        <v>1645</v>
      </c>
      <c r="K57" s="11" t="n">
        <f aca="false">K19-J19</f>
        <v>1167</v>
      </c>
      <c r="L57" s="11" t="n">
        <f aca="false">L19-K19</f>
        <v>770</v>
      </c>
      <c r="M57" s="11" t="n">
        <f aca="false">M19-L19</f>
        <v>-551</v>
      </c>
      <c r="N57" s="11" t="n">
        <f aca="false">N19-M19</f>
        <v>536</v>
      </c>
      <c r="O57" s="11" t="n">
        <f aca="false">O19-N19</f>
        <v>3404</v>
      </c>
    </row>
    <row r="58" customFormat="false" ht="15" hidden="false" customHeight="false" outlineLevel="0" collapsed="false">
      <c r="A58" s="5" t="str">
        <f aca="false">A20</f>
        <v>Demais grupos</v>
      </c>
      <c r="B58" s="2" t="str">
        <f aca="false">B20</f>
        <v>DEMAIS GRUPOS</v>
      </c>
      <c r="D58" s="11" t="n">
        <f aca="false">D20-C20</f>
        <v>-2648</v>
      </c>
      <c r="E58" s="11" t="n">
        <f aca="false">E20-D20</f>
        <v>-2481</v>
      </c>
      <c r="F58" s="11" t="n">
        <f aca="false">F20-E20</f>
        <v>-2981</v>
      </c>
      <c r="G58" s="11" t="n">
        <f aca="false">G20-F20</f>
        <v>-3623</v>
      </c>
      <c r="H58" s="11" t="n">
        <f aca="false">H20-G20</f>
        <v>-220846</v>
      </c>
      <c r="I58" s="11" t="n">
        <f aca="false">I20-H20</f>
        <v>215</v>
      </c>
      <c r="J58" s="11" t="n">
        <f aca="false">J20-I20</f>
        <v>2505</v>
      </c>
      <c r="K58" s="11" t="n">
        <f aca="false">K20-J20</f>
        <v>-34510</v>
      </c>
      <c r="L58" s="11" t="n">
        <f aca="false">L20-K20</f>
        <v>55</v>
      </c>
      <c r="M58" s="11" t="n">
        <f aca="false">M20-L20</f>
        <v>-9378</v>
      </c>
      <c r="N58" s="11" t="n">
        <f aca="false">N20-M20</f>
        <v>-427</v>
      </c>
      <c r="O58" s="11" t="n">
        <f aca="false">O20-N20</f>
        <v>-23425</v>
      </c>
    </row>
    <row r="59" customFormat="false" ht="15" hidden="false" customHeight="false" outlineLevel="0" collapsed="false">
      <c r="A59" s="7" t="str">
        <f aca="false">A21</f>
        <v>Total</v>
      </c>
      <c r="D59" s="12" t="n">
        <f aca="false">D21-C21</f>
        <v>70987</v>
      </c>
      <c r="E59" s="12" t="n">
        <f aca="false">E21-D21</f>
        <v>431472</v>
      </c>
      <c r="F59" s="12" t="n">
        <f aca="false">F21-E21</f>
        <v>-405377</v>
      </c>
      <c r="G59" s="12" t="n">
        <f aca="false">G21-F21</f>
        <v>579280</v>
      </c>
      <c r="H59" s="12" t="n">
        <f aca="false">H21-G21</f>
        <v>379360</v>
      </c>
      <c r="I59" s="12" t="n">
        <f aca="false">I21-H21</f>
        <v>610353</v>
      </c>
      <c r="J59" s="12" t="n">
        <f aca="false">J21-I21</f>
        <v>525261</v>
      </c>
      <c r="K59" s="12" t="n">
        <f aca="false">K21-J21</f>
        <v>408807</v>
      </c>
      <c r="L59" s="12" t="n">
        <f aca="false">L21-K21</f>
        <v>410443</v>
      </c>
      <c r="M59" s="12" t="n">
        <f aca="false">M21-L21</f>
        <v>453541</v>
      </c>
      <c r="N59" s="12" t="n">
        <f aca="false">N21-M21</f>
        <v>391998</v>
      </c>
      <c r="O59" s="12" t="n">
        <f aca="false">O21-N21</f>
        <v>-753138</v>
      </c>
    </row>
    <row r="61" customFormat="false" ht="15" hidden="false" customHeight="false" outlineLevel="0" collapsed="false">
      <c r="A61" s="3" t="s">
        <v>42</v>
      </c>
      <c r="B61" s="3"/>
      <c r="C61" s="3" t="s">
        <v>43</v>
      </c>
      <c r="D61" s="3" t="s">
        <v>44</v>
      </c>
    </row>
    <row r="62" customFormat="false" ht="15" hidden="false" customHeight="false" outlineLevel="0" collapsed="false">
      <c r="A62" s="5" t="str">
        <f aca="false">A5</f>
        <v>Outros</v>
      </c>
      <c r="C62" s="13" t="n">
        <f aca="false">IF(C5=0,0,O5/C5-1)</f>
        <v>0.0973937429710348</v>
      </c>
      <c r="D62" s="14" t="n">
        <f aca="false">(O24-C24)*100</f>
        <v>1.50740873078798</v>
      </c>
    </row>
    <row r="63" customFormat="false" ht="15" hidden="false" customHeight="false" outlineLevel="0" collapsed="false">
      <c r="A63" s="5" t="str">
        <f aca="false">A6</f>
        <v>Claro</v>
      </c>
      <c r="C63" s="13" t="n">
        <f aca="false">IF(C6=0,0,O6/C6-1)</f>
        <v>0.0385647401706193</v>
      </c>
      <c r="D63" s="14" t="n">
        <f aca="false">(O25-C25)*100</f>
        <v>-0.326882550210861</v>
      </c>
    </row>
    <row r="64" customFormat="false" ht="15" hidden="false" customHeight="false" outlineLevel="0" collapsed="false">
      <c r="A64" s="5" t="str">
        <f aca="false">A7</f>
        <v>Vivo</v>
      </c>
      <c r="C64" s="13" t="n">
        <f aca="false">IF(C7=0,0,O7/C7-1)</f>
        <v>0.0945723320727276</v>
      </c>
      <c r="D64" s="14" t="n">
        <f aca="false">(O26-C26)*100</f>
        <v>0.51150728678723</v>
      </c>
    </row>
    <row r="65" customFormat="false" ht="15" hidden="false" customHeight="false" outlineLevel="0" collapsed="false">
      <c r="A65" s="5" t="str">
        <f aca="false">A8</f>
        <v>Oi</v>
      </c>
      <c r="C65" s="13" t="n">
        <f aca="false">IF(C8=0,0,O8/C8-1)</f>
        <v>-0.136881771313292</v>
      </c>
      <c r="D65" s="14" t="n">
        <f aca="false">(O27-C27)*100</f>
        <v>-1.34210329296807</v>
      </c>
    </row>
    <row r="66" customFormat="false" ht="15" hidden="false" customHeight="false" outlineLevel="0" collapsed="false">
      <c r="A66" s="5" t="str">
        <f aca="false">A9</f>
        <v>Brisanet</v>
      </c>
      <c r="C66" s="13" t="n">
        <f aca="false">IF(C9=0,0,O9/C9-1)</f>
        <v>0.0344529117468395</v>
      </c>
      <c r="D66" s="14" t="n">
        <f aca="false">(O28-C28)*100</f>
        <v>-0.0587838761778585</v>
      </c>
    </row>
    <row r="67" customFormat="false" ht="15" hidden="false" customHeight="false" outlineLevel="0" collapsed="false">
      <c r="A67" s="5" t="str">
        <f aca="false">A10</f>
        <v>Brasil Tecpar</v>
      </c>
      <c r="C67" s="13" t="n">
        <f aca="false">IF(C10=0,0,O10/C10-1)</f>
        <v>0.28238223147962</v>
      </c>
      <c r="D67" s="14" t="n">
        <f aca="false">(O29-C29)*100</f>
        <v>0.420845043855201</v>
      </c>
    </row>
    <row r="68" customFormat="false" ht="15" hidden="false" customHeight="false" outlineLevel="0" collapsed="false">
      <c r="A68" s="5" t="str">
        <f aca="false">A11</f>
        <v>Vero</v>
      </c>
      <c r="C68" s="13" t="n">
        <f aca="false">IF(C11=0,0,O11/C11-1)</f>
        <v>-0.0609994388115599</v>
      </c>
      <c r="D68" s="14" t="n">
        <f aca="false">(O30-C30)*100</f>
        <v>-0.279519856838902</v>
      </c>
    </row>
    <row r="69" customFormat="false" ht="15" hidden="false" customHeight="false" outlineLevel="0" collapsed="false">
      <c r="A69" s="5" t="str">
        <f aca="false">A12</f>
        <v>Giga Mais Fibra</v>
      </c>
      <c r="C69" s="13" t="n">
        <f aca="false">IF(C12=0,0,O12/C12-1)</f>
        <v>-0.165190973516619</v>
      </c>
      <c r="D69" s="14" t="n">
        <f aca="false">(O31-C31)*100</f>
        <v>-0.591005647585018</v>
      </c>
    </row>
    <row r="70" customFormat="false" ht="15" hidden="false" customHeight="false" outlineLevel="0" collapsed="false">
      <c r="A70" s="5" t="str">
        <f aca="false">A13</f>
        <v>Desktop</v>
      </c>
      <c r="C70" s="13" t="n">
        <f aca="false">IF(C13=0,0,O13/C13-1)</f>
        <v>0.00169590324461022</v>
      </c>
      <c r="D70" s="14" t="n">
        <f aca="false">(O32-C32)*100</f>
        <v>-0.11314287365851</v>
      </c>
    </row>
    <row r="71" customFormat="false" ht="15" hidden="false" customHeight="false" outlineLevel="0" collapsed="false">
      <c r="A71" s="5" t="str">
        <f aca="false">A14</f>
        <v>TIM</v>
      </c>
      <c r="C71" s="13" t="n">
        <f aca="false">IF(C14=0,0,O14/C14-1)</f>
        <v>0.132927539480834</v>
      </c>
      <c r="D71" s="14" t="n">
        <f aca="false">(O33-C33)*100</f>
        <v>0.108164875348632</v>
      </c>
    </row>
    <row r="72" customFormat="false" ht="15" hidden="false" customHeight="false" outlineLevel="0" collapsed="false">
      <c r="A72" s="5" t="str">
        <f aca="false">A15</f>
        <v>Unifique</v>
      </c>
      <c r="C72" s="13" t="n">
        <f aca="false">IF(C15=0,0,O15/C15-1)</f>
        <v>0.086565411595894</v>
      </c>
      <c r="D72" s="14" t="n">
        <f aca="false">(O34-C34)*100</f>
        <v>0.0424446632696064</v>
      </c>
    </row>
    <row r="73" customFormat="false" ht="15" hidden="false" customHeight="false" outlineLevel="0" collapsed="false">
      <c r="A73" s="5" t="str">
        <f aca="false">A16</f>
        <v>Algar</v>
      </c>
      <c r="C73" s="13" t="n">
        <f aca="false">IF(C16=0,0,O16/C16-1)</f>
        <v>-0.0004470829932266</v>
      </c>
      <c r="D73" s="14" t="n">
        <f aca="false">(O35-C35)*100</f>
        <v>-0.0822595605752431</v>
      </c>
    </row>
    <row r="74" customFormat="false" ht="15" hidden="false" customHeight="false" outlineLevel="0" collapsed="false">
      <c r="A74" s="5" t="str">
        <f aca="false">A17</f>
        <v>Alares</v>
      </c>
      <c r="C74" s="13" t="n">
        <f aca="false">IF(C17=0,0,O17/C17-1)</f>
        <v>0.000956919796826883</v>
      </c>
      <c r="D74" s="14" t="n">
        <f aca="false">(O36-C36)*100</f>
        <v>-0.0766829761379375</v>
      </c>
    </row>
    <row r="75" customFormat="false" ht="15" hidden="false" customHeight="false" outlineLevel="0" collapsed="false">
      <c r="A75" s="5" t="str">
        <f aca="false">A18</f>
        <v>Sky/Zaaz</v>
      </c>
      <c r="C75" s="13" t="n">
        <f aca="false">IF(C18=0,0,O18/C18-1)</f>
        <v>0</v>
      </c>
      <c r="D75" s="14" t="n">
        <f aca="false">(O37-C37)*100</f>
        <v>0.877805605689133</v>
      </c>
    </row>
    <row r="76" customFormat="false" ht="15" hidden="false" customHeight="false" outlineLevel="0" collapsed="false">
      <c r="A76" s="5" t="str">
        <f aca="false">A19</f>
        <v>Ligga Telecom</v>
      </c>
      <c r="C76" s="13" t="n">
        <f aca="false">IF(C19=0,0,O19/C19-1)</f>
        <v>0.0384143250979254</v>
      </c>
      <c r="D76" s="14" t="n">
        <f aca="false">(O38-C38)*100</f>
        <v>-0.0107421380307763</v>
      </c>
    </row>
    <row r="77" customFormat="false" ht="15" hidden="false" customHeight="false" outlineLevel="0" collapsed="false">
      <c r="A77" s="5" t="str">
        <f aca="false">A20</f>
        <v>Demais grupos</v>
      </c>
      <c r="C77" s="13" t="n">
        <f aca="false">IF(C20=0,0,O20/C20-1)</f>
        <v>-0.398188010625698</v>
      </c>
      <c r="D77" s="14" t="n">
        <f aca="false">(O39-C39)*100</f>
        <v>-0.587053433554615</v>
      </c>
    </row>
    <row r="78" customFormat="false" ht="15" hidden="false" customHeight="false" outlineLevel="0" collapsed="false">
      <c r="A78" s="7" t="str">
        <f aca="false">A21</f>
        <v>Total</v>
      </c>
      <c r="C78" s="13" t="n">
        <f aca="false">IF(C21=0,0,O21/C21-1)</f>
        <v>0.0566340537958601</v>
      </c>
      <c r="D78" s="14" t="n">
        <f aca="false">(O40-C40)*100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33</v>
      </c>
      <c r="B5" s="2" t="s">
        <v>34</v>
      </c>
      <c r="C5" s="6" t="n">
        <v>18823944</v>
      </c>
      <c r="D5" s="6" t="n">
        <v>18626175</v>
      </c>
      <c r="E5" s="6" t="n">
        <v>18960665</v>
      </c>
      <c r="F5" s="6" t="n">
        <v>18507510</v>
      </c>
      <c r="G5" s="6" t="n">
        <v>19112918</v>
      </c>
      <c r="H5" s="6" t="n">
        <v>19090200</v>
      </c>
      <c r="I5" s="6" t="n">
        <v>19707867</v>
      </c>
      <c r="J5" s="6" t="n">
        <v>20142294</v>
      </c>
      <c r="K5" s="6" t="n">
        <v>20399358</v>
      </c>
      <c r="L5" s="6" t="n">
        <v>20855615</v>
      </c>
      <c r="M5" s="6" t="n">
        <v>21199616</v>
      </c>
      <c r="N5" s="6" t="n">
        <v>21143970</v>
      </c>
      <c r="O5" s="6" t="n">
        <v>20666779</v>
      </c>
    </row>
    <row r="6" customFormat="false" ht="15" hidden="false" customHeight="false" outlineLevel="0" collapsed="false">
      <c r="A6" s="5" t="s">
        <v>17</v>
      </c>
      <c r="B6" s="2" t="s">
        <v>18</v>
      </c>
      <c r="C6" s="6" t="n">
        <v>7526176</v>
      </c>
      <c r="D6" s="6" t="n">
        <v>7596190</v>
      </c>
      <c r="E6" s="6" t="n">
        <v>7669533</v>
      </c>
      <c r="F6" s="6" t="n">
        <v>7740054</v>
      </c>
      <c r="G6" s="6" t="n">
        <v>7793616</v>
      </c>
      <c r="H6" s="6" t="n">
        <v>7857668</v>
      </c>
      <c r="I6" s="6" t="n">
        <v>7916767</v>
      </c>
      <c r="J6" s="6" t="n">
        <v>7993848</v>
      </c>
      <c r="K6" s="6" t="n">
        <v>8065141</v>
      </c>
      <c r="L6" s="6" t="n">
        <v>8145604</v>
      </c>
      <c r="M6" s="6" t="n">
        <v>8206384</v>
      </c>
      <c r="N6" s="6" t="n">
        <v>8281964</v>
      </c>
      <c r="O6" s="6" t="n">
        <v>8350472</v>
      </c>
    </row>
    <row r="7" customFormat="false" ht="15" hidden="false" customHeight="false" outlineLevel="0" collapsed="false">
      <c r="A7" s="5" t="s">
        <v>19</v>
      </c>
      <c r="B7" s="2" t="s">
        <v>20</v>
      </c>
      <c r="C7" s="6" t="n">
        <v>2340245</v>
      </c>
      <c r="D7" s="6" t="n">
        <v>2415139</v>
      </c>
      <c r="E7" s="6" t="n">
        <v>2489188</v>
      </c>
      <c r="F7" s="6" t="n">
        <v>2558268</v>
      </c>
      <c r="G7" s="6" t="n">
        <v>2627121</v>
      </c>
      <c r="H7" s="6" t="n">
        <v>2703431</v>
      </c>
      <c r="I7" s="6" t="n">
        <v>2770983</v>
      </c>
      <c r="J7" s="6" t="n">
        <v>2864822</v>
      </c>
      <c r="K7" s="6" t="n">
        <v>2959850</v>
      </c>
      <c r="L7" s="6" t="n">
        <v>3063087</v>
      </c>
      <c r="M7" s="6" t="n">
        <v>3166593</v>
      </c>
      <c r="N7" s="6" t="n">
        <v>3288290</v>
      </c>
      <c r="O7" s="6" t="n">
        <v>3409759</v>
      </c>
    </row>
    <row r="8" customFormat="false" ht="15" hidden="false" customHeight="false" outlineLevel="0" collapsed="false">
      <c r="A8" s="5" t="s">
        <v>57</v>
      </c>
      <c r="B8" s="2" t="s">
        <v>58</v>
      </c>
      <c r="C8" s="6" t="n">
        <v>3845912</v>
      </c>
      <c r="D8" s="6" t="n">
        <v>3778513</v>
      </c>
      <c r="E8" s="6" t="n">
        <v>3706289</v>
      </c>
      <c r="F8" s="6" t="n">
        <v>3618183</v>
      </c>
      <c r="G8" s="6" t="n">
        <v>3544986</v>
      </c>
      <c r="H8" s="6" t="n">
        <v>3480988</v>
      </c>
      <c r="I8" s="6" t="n">
        <v>3444638</v>
      </c>
      <c r="J8" s="6" t="n">
        <v>3420451</v>
      </c>
      <c r="K8" s="6" t="n">
        <v>3405581</v>
      </c>
      <c r="L8" s="6" t="n">
        <v>3376776</v>
      </c>
      <c r="M8" s="6" t="n">
        <v>3359446</v>
      </c>
      <c r="N8" s="6" t="n">
        <v>3371201</v>
      </c>
      <c r="O8" s="6" t="n">
        <v>3392595</v>
      </c>
    </row>
    <row r="9" customFormat="false" ht="15" hidden="false" customHeight="false" outlineLevel="0" collapsed="false">
      <c r="A9" s="5" t="s">
        <v>25</v>
      </c>
      <c r="B9" s="2" t="s">
        <v>26</v>
      </c>
      <c r="C9" s="6" t="n">
        <v>1490673</v>
      </c>
      <c r="D9" s="6" t="n">
        <v>1496366</v>
      </c>
      <c r="E9" s="6" t="n">
        <v>1502606</v>
      </c>
      <c r="F9" s="6" t="n">
        <v>1506686</v>
      </c>
      <c r="G9" s="6" t="n">
        <v>1510713</v>
      </c>
      <c r="H9" s="6" t="n">
        <v>1515318</v>
      </c>
      <c r="I9" s="6" t="n">
        <v>1519340</v>
      </c>
      <c r="J9" s="6" t="n">
        <v>1524058</v>
      </c>
      <c r="K9" s="6" t="n">
        <v>1528241</v>
      </c>
      <c r="L9" s="6" t="n">
        <v>1533934</v>
      </c>
      <c r="M9" s="6" t="n">
        <v>1535012</v>
      </c>
      <c r="N9" s="6" t="n">
        <v>1538045</v>
      </c>
      <c r="O9" s="6" t="n">
        <v>1540293</v>
      </c>
    </row>
    <row r="10" customFormat="false" ht="15" hidden="false" customHeight="false" outlineLevel="0" collapsed="false">
      <c r="A10" s="5" t="s">
        <v>59</v>
      </c>
      <c r="B10" s="2" t="s">
        <v>60</v>
      </c>
      <c r="C10" s="6" t="n">
        <v>1059237</v>
      </c>
      <c r="D10" s="6" t="n">
        <v>1290805</v>
      </c>
      <c r="E10" s="6" t="n">
        <v>1289620</v>
      </c>
      <c r="F10" s="6" t="n">
        <v>1303795</v>
      </c>
      <c r="G10" s="6" t="n">
        <v>1325156</v>
      </c>
      <c r="H10" s="6" t="n">
        <v>1340071</v>
      </c>
      <c r="I10" s="6" t="n">
        <v>1345265</v>
      </c>
      <c r="J10" s="6" t="n">
        <v>1353255</v>
      </c>
      <c r="K10" s="6" t="n">
        <v>1359432</v>
      </c>
      <c r="L10" s="6" t="n">
        <v>1352558</v>
      </c>
      <c r="M10" s="6" t="n">
        <v>1355669</v>
      </c>
      <c r="N10" s="6" t="n">
        <v>1364184</v>
      </c>
      <c r="O10" s="6" t="n">
        <v>1367211</v>
      </c>
    </row>
    <row r="11" customFormat="false" ht="15" hidden="false" customHeight="false" outlineLevel="0" collapsed="false">
      <c r="A11" s="5" t="s">
        <v>29</v>
      </c>
      <c r="B11" s="2" t="s">
        <v>30</v>
      </c>
      <c r="C11" s="6" t="n">
        <v>1372745</v>
      </c>
      <c r="D11" s="6" t="n">
        <v>1366694</v>
      </c>
      <c r="E11" s="6" t="n">
        <v>1361922</v>
      </c>
      <c r="F11" s="6" t="n">
        <v>1355918</v>
      </c>
      <c r="G11" s="6" t="n">
        <v>1352494</v>
      </c>
      <c r="H11" s="6" t="n">
        <v>1344993</v>
      </c>
      <c r="I11" s="6" t="n">
        <v>1332739</v>
      </c>
      <c r="J11" s="6" t="n">
        <v>1322533</v>
      </c>
      <c r="K11" s="6" t="n">
        <v>1311275</v>
      </c>
      <c r="L11" s="6" t="n">
        <v>1308328</v>
      </c>
      <c r="M11" s="6" t="n">
        <v>1302132</v>
      </c>
      <c r="N11" s="6" t="n">
        <v>1295783</v>
      </c>
      <c r="O11" s="6" t="n">
        <v>1288821</v>
      </c>
    </row>
    <row r="12" customFormat="false" ht="15" hidden="false" customHeight="false" outlineLevel="0" collapsed="false">
      <c r="A12" s="5" t="s">
        <v>61</v>
      </c>
      <c r="B12" s="2" t="s">
        <v>62</v>
      </c>
      <c r="C12" s="6" t="n">
        <v>1542439</v>
      </c>
      <c r="D12" s="6" t="n">
        <v>1511541</v>
      </c>
      <c r="E12" s="6" t="n">
        <v>1493292</v>
      </c>
      <c r="F12" s="6" t="n">
        <v>1465036</v>
      </c>
      <c r="G12" s="6" t="n">
        <v>1433003</v>
      </c>
      <c r="H12" s="6" t="n">
        <v>1408159</v>
      </c>
      <c r="I12" s="6" t="n">
        <v>1386830</v>
      </c>
      <c r="J12" s="6" t="n">
        <v>1364559</v>
      </c>
      <c r="K12" s="6" t="n">
        <v>1345500</v>
      </c>
      <c r="L12" s="6" t="n">
        <v>1329846</v>
      </c>
      <c r="M12" s="6" t="n">
        <v>1313370</v>
      </c>
      <c r="N12" s="6" t="n">
        <v>1300316</v>
      </c>
      <c r="O12" s="6" t="n">
        <v>1287642</v>
      </c>
    </row>
    <row r="13" customFormat="false" ht="15" hidden="false" customHeight="false" outlineLevel="0" collapsed="false">
      <c r="A13" s="5" t="s">
        <v>63</v>
      </c>
      <c r="B13" s="2" t="s">
        <v>64</v>
      </c>
      <c r="C13" s="6" t="n">
        <v>1191707</v>
      </c>
      <c r="D13" s="6" t="n">
        <v>1197797</v>
      </c>
      <c r="E13" s="6" t="n">
        <v>1204860</v>
      </c>
      <c r="F13" s="6" t="n">
        <v>1206958</v>
      </c>
      <c r="G13" s="6" t="n">
        <v>1206945</v>
      </c>
      <c r="H13" s="6" t="n">
        <v>1207838</v>
      </c>
      <c r="I13" s="6" t="n">
        <v>1207216</v>
      </c>
      <c r="J13" s="6" t="n">
        <v>1204866</v>
      </c>
      <c r="K13" s="6" t="n">
        <v>1202973</v>
      </c>
      <c r="L13" s="6" t="n">
        <v>1199701</v>
      </c>
      <c r="M13" s="6" t="n">
        <v>1198989</v>
      </c>
      <c r="N13" s="6" t="n">
        <v>1197544</v>
      </c>
      <c r="O13" s="6" t="n">
        <v>1193600</v>
      </c>
    </row>
    <row r="14" customFormat="false" ht="15" hidden="false" customHeight="false" outlineLevel="0" collapsed="false">
      <c r="A14" s="5" t="s">
        <v>21</v>
      </c>
      <c r="B14" s="2" t="s">
        <v>22</v>
      </c>
      <c r="C14" s="6" t="n">
        <v>804721</v>
      </c>
      <c r="D14" s="6" t="n">
        <v>815282</v>
      </c>
      <c r="E14" s="6" t="n">
        <v>825430</v>
      </c>
      <c r="F14" s="6" t="n">
        <v>838253</v>
      </c>
      <c r="G14" s="6" t="n">
        <v>846987</v>
      </c>
      <c r="H14" s="6" t="n">
        <v>857844</v>
      </c>
      <c r="I14" s="6" t="n">
        <v>870437</v>
      </c>
      <c r="J14" s="6" t="n">
        <v>882788</v>
      </c>
      <c r="K14" s="6" t="n">
        <v>889641</v>
      </c>
      <c r="L14" s="6" t="n">
        <v>898068</v>
      </c>
      <c r="M14" s="6" t="n">
        <v>903309</v>
      </c>
      <c r="N14" s="6" t="n">
        <v>915692</v>
      </c>
      <c r="O14" s="6" t="n">
        <v>927286</v>
      </c>
    </row>
    <row r="15" customFormat="false" ht="15" hidden="false" customHeight="false" outlineLevel="0" collapsed="false">
      <c r="A15" s="5" t="s">
        <v>31</v>
      </c>
      <c r="B15" s="2" t="s">
        <v>32</v>
      </c>
      <c r="C15" s="6" t="n">
        <v>815123</v>
      </c>
      <c r="D15" s="6" t="n">
        <v>817957</v>
      </c>
      <c r="E15" s="6" t="n">
        <v>822203</v>
      </c>
      <c r="F15" s="6" t="n">
        <v>851255</v>
      </c>
      <c r="G15" s="6" t="n">
        <v>862840</v>
      </c>
      <c r="H15" s="6" t="n">
        <v>867364</v>
      </c>
      <c r="I15" s="6" t="n">
        <v>872063</v>
      </c>
      <c r="J15" s="6" t="n">
        <v>876103</v>
      </c>
      <c r="K15" s="6" t="n">
        <v>879084</v>
      </c>
      <c r="L15" s="6" t="n">
        <v>880387</v>
      </c>
      <c r="M15" s="6" t="n">
        <v>881980</v>
      </c>
      <c r="N15" s="6" t="n">
        <v>887194</v>
      </c>
      <c r="O15" s="6" t="n">
        <v>888855</v>
      </c>
    </row>
    <row r="16" customFormat="false" ht="15" hidden="false" customHeight="false" outlineLevel="0" collapsed="false">
      <c r="A16" s="5" t="s">
        <v>27</v>
      </c>
      <c r="B16" s="2" t="s">
        <v>28</v>
      </c>
      <c r="C16" s="6" t="n">
        <v>827482</v>
      </c>
      <c r="D16" s="6" t="n">
        <v>828153</v>
      </c>
      <c r="E16" s="6" t="n">
        <v>836024</v>
      </c>
      <c r="F16" s="6" t="n">
        <v>838935</v>
      </c>
      <c r="G16" s="6" t="n">
        <v>839365</v>
      </c>
      <c r="H16" s="6" t="n">
        <v>838171</v>
      </c>
      <c r="I16" s="6" t="n">
        <v>837857</v>
      </c>
      <c r="J16" s="6" t="n">
        <v>839102</v>
      </c>
      <c r="K16" s="6" t="n">
        <v>839005</v>
      </c>
      <c r="L16" s="6" t="n">
        <v>837615</v>
      </c>
      <c r="M16" s="6" t="n">
        <v>835777</v>
      </c>
      <c r="N16" s="6" t="n">
        <v>834198</v>
      </c>
      <c r="O16" s="6" t="n">
        <v>832711</v>
      </c>
    </row>
    <row r="17" customFormat="false" ht="15" hidden="false" customHeight="false" outlineLevel="0" collapsed="false">
      <c r="A17" s="5" t="s">
        <v>65</v>
      </c>
      <c r="B17" s="2" t="s">
        <v>66</v>
      </c>
      <c r="C17" s="6" t="n">
        <v>787361</v>
      </c>
      <c r="D17" s="6" t="n">
        <v>787578</v>
      </c>
      <c r="E17" s="6" t="n">
        <v>814548</v>
      </c>
      <c r="F17" s="6" t="n">
        <v>814248</v>
      </c>
      <c r="G17" s="6" t="n">
        <v>813930</v>
      </c>
      <c r="H17" s="6" t="n">
        <v>788798</v>
      </c>
      <c r="I17" s="6" t="n">
        <v>788000</v>
      </c>
      <c r="J17" s="6" t="n">
        <v>787688</v>
      </c>
      <c r="K17" s="6" t="n">
        <v>786707</v>
      </c>
      <c r="L17" s="6" t="n">
        <v>785123</v>
      </c>
      <c r="M17" s="6" t="n">
        <v>782274</v>
      </c>
      <c r="N17" s="6" t="n">
        <v>798294</v>
      </c>
      <c r="O17" s="6" t="n">
        <v>794256</v>
      </c>
    </row>
    <row r="18" customFormat="false" ht="15" hidden="false" customHeight="false" outlineLevel="0" collapsed="false">
      <c r="A18" s="5" t="s">
        <v>67</v>
      </c>
      <c r="B18" s="2" t="s">
        <v>68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468438</v>
      </c>
      <c r="I18" s="6" t="n">
        <v>481813</v>
      </c>
      <c r="J18" s="6" t="n">
        <v>482761</v>
      </c>
      <c r="K18" s="6" t="n">
        <v>483214</v>
      </c>
      <c r="L18" s="6" t="n">
        <v>484368</v>
      </c>
      <c r="M18" s="6" t="n">
        <v>492020</v>
      </c>
      <c r="N18" s="6" t="n">
        <v>840268</v>
      </c>
      <c r="O18" s="6" t="n">
        <v>496846</v>
      </c>
    </row>
    <row r="19" customFormat="false" ht="15" hidden="false" customHeight="false" outlineLevel="0" collapsed="false">
      <c r="A19" s="5" t="s">
        <v>49</v>
      </c>
      <c r="B19" s="2" t="s">
        <v>50</v>
      </c>
      <c r="C19" s="6" t="n">
        <v>330716</v>
      </c>
      <c r="D19" s="6" t="n">
        <v>332296</v>
      </c>
      <c r="E19" s="6" t="n">
        <v>334482</v>
      </c>
      <c r="F19" s="6" t="n">
        <v>335598</v>
      </c>
      <c r="G19" s="6" t="n">
        <v>336571</v>
      </c>
      <c r="H19" s="6" t="n">
        <v>339285</v>
      </c>
      <c r="I19" s="6" t="n">
        <v>341803</v>
      </c>
      <c r="J19" s="6" t="n">
        <v>344471</v>
      </c>
      <c r="K19" s="6" t="n">
        <v>346378</v>
      </c>
      <c r="L19" s="6" t="n">
        <v>347868</v>
      </c>
      <c r="M19" s="6" t="n">
        <v>348247</v>
      </c>
      <c r="N19" s="6" t="n">
        <v>350121</v>
      </c>
      <c r="O19" s="6" t="n">
        <v>353995</v>
      </c>
    </row>
    <row r="20" customFormat="false" ht="15" hidden="false" customHeight="false" outlineLevel="0" collapsed="false">
      <c r="A20" s="5" t="s">
        <v>37</v>
      </c>
      <c r="B20" s="2" t="s">
        <v>38</v>
      </c>
      <c r="C20" s="6" t="n">
        <v>375200</v>
      </c>
      <c r="D20" s="6" t="n">
        <v>374455</v>
      </c>
      <c r="E20" s="6" t="n">
        <v>371130</v>
      </c>
      <c r="F20" s="6" t="n">
        <v>374151</v>
      </c>
      <c r="G20" s="6" t="n">
        <v>376203</v>
      </c>
      <c r="H20" s="6" t="n">
        <v>157867</v>
      </c>
      <c r="I20" s="6" t="n">
        <v>158696</v>
      </c>
      <c r="J20" s="6" t="n">
        <v>160291</v>
      </c>
      <c r="K20" s="6" t="n">
        <v>135107</v>
      </c>
      <c r="L20" s="6" t="n">
        <v>136239</v>
      </c>
      <c r="M20" s="6" t="n">
        <v>133121</v>
      </c>
      <c r="N20" s="6" t="n">
        <v>138948</v>
      </c>
      <c r="O20" s="6" t="n">
        <v>135227</v>
      </c>
    </row>
    <row r="21" customFormat="false" ht="15" hidden="false" customHeight="false" outlineLevel="0" collapsed="false">
      <c r="A21" s="7" t="s">
        <v>39</v>
      </c>
      <c r="C21" s="8" t="n">
        <f aca="false">SUM(C5:C20)</f>
        <v>43133681</v>
      </c>
      <c r="D21" s="8" t="n">
        <f aca="false">SUM(D5:D20)</f>
        <v>43234941</v>
      </c>
      <c r="E21" s="8" t="n">
        <f aca="false">SUM(E5:E20)</f>
        <v>43681792</v>
      </c>
      <c r="F21" s="8" t="n">
        <f aca="false">SUM(F5:F20)</f>
        <v>43314848</v>
      </c>
      <c r="G21" s="8" t="n">
        <f aca="false">SUM(G5:G20)</f>
        <v>43982848</v>
      </c>
      <c r="H21" s="8" t="n">
        <f aca="false">SUM(H5:H20)</f>
        <v>44266433</v>
      </c>
      <c r="I21" s="8" t="n">
        <f aca="false">SUM(I5:I20)</f>
        <v>44982314</v>
      </c>
      <c r="J21" s="8" t="n">
        <f aca="false">SUM(J5:J20)</f>
        <v>45563890</v>
      </c>
      <c r="K21" s="8" t="n">
        <f aca="false">SUM(K5:K20)</f>
        <v>45936487</v>
      </c>
      <c r="L21" s="8" t="n">
        <f aca="false">SUM(L5:L20)</f>
        <v>46535117</v>
      </c>
      <c r="M21" s="8" t="n">
        <f aca="false">SUM(M5:M20)</f>
        <v>47013939</v>
      </c>
      <c r="N21" s="8" t="n">
        <f aca="false">SUM(N5:N20)</f>
        <v>47546012</v>
      </c>
      <c r="O21" s="8" t="n">
        <f aca="false">SUM(O5:O20)</f>
        <v>46926348</v>
      </c>
    </row>
    <row r="23" customFormat="false" ht="15" hidden="false" customHeight="false" outlineLevel="0" collapsed="false">
      <c r="A23" s="3" t="s">
        <v>40</v>
      </c>
      <c r="B23" s="3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  <c r="I23" s="4" t="s">
        <v>10</v>
      </c>
      <c r="J23" s="4" t="s">
        <v>11</v>
      </c>
      <c r="K23" s="4" t="s">
        <v>12</v>
      </c>
      <c r="L23" s="4" t="s">
        <v>13</v>
      </c>
      <c r="M23" s="4" t="s">
        <v>14</v>
      </c>
      <c r="N23" s="4" t="s">
        <v>15</v>
      </c>
      <c r="O23" s="4" t="s">
        <v>16</v>
      </c>
    </row>
    <row r="24" customFormat="false" ht="15" hidden="false" customHeight="false" outlineLevel="0" collapsed="false">
      <c r="A24" s="5" t="str">
        <f aca="false">A5</f>
        <v>Outros</v>
      </c>
      <c r="B24" s="2" t="str">
        <f aca="false">B5</f>
        <v>OUTROS</v>
      </c>
      <c r="C24" s="9" t="n">
        <f aca="false">IF(C$21=0,0,C5/C$21)</f>
        <v>0.436409403593447</v>
      </c>
      <c r="D24" s="9" t="n">
        <f aca="false">IF(D$21=0,0,D5/D$21)</f>
        <v>0.430813008395224</v>
      </c>
      <c r="E24" s="9" t="n">
        <f aca="false">IF(E$21=0,0,E5/E$21)</f>
        <v>0.4340633506977</v>
      </c>
      <c r="F24" s="9" t="n">
        <f aca="false">IF(F$21=0,0,F5/F$21)</f>
        <v>0.427278655116139</v>
      </c>
      <c r="G24" s="9" t="n">
        <f aca="false">IF(G$21=0,0,G5/G$21)</f>
        <v>0.434553897010034</v>
      </c>
      <c r="H24" s="9" t="n">
        <f aca="false">IF(H$21=0,0,H5/H$21)</f>
        <v>0.43125679451064</v>
      </c>
      <c r="I24" s="9" t="n">
        <f aca="false">IF(I$21=0,0,I5/I$21)</f>
        <v>0.438124792779669</v>
      </c>
      <c r="J24" s="9" t="n">
        <f aca="false">IF(J$21=0,0,J5/J$21)</f>
        <v>0.442067040369029</v>
      </c>
      <c r="K24" s="9" t="n">
        <f aca="false">IF(K$21=0,0,K5/K$21)</f>
        <v>0.444077449805859</v>
      </c>
      <c r="L24" s="9" t="n">
        <f aca="false">IF(L$21=0,0,L5/L$21)</f>
        <v>0.448169390011419</v>
      </c>
      <c r="M24" s="9" t="n">
        <f aca="false">IF(M$21=0,0,M5/M$21)</f>
        <v>0.450921927643629</v>
      </c>
      <c r="N24" s="9" t="n">
        <f aca="false">IF(N$21=0,0,N5/N$21)</f>
        <v>0.444705436073166</v>
      </c>
      <c r="O24" s="9" t="n">
        <f aca="false">IF(O$21=0,0,O5/O$21)</f>
        <v>0.440408850908236</v>
      </c>
    </row>
    <row r="25" customFormat="false" ht="15" hidden="false" customHeight="false" outlineLevel="0" collapsed="false">
      <c r="A25" s="5" t="str">
        <f aca="false">A6</f>
        <v>Vivo</v>
      </c>
      <c r="B25" s="2" t="str">
        <f aca="false">B6</f>
        <v>TELEFONICA</v>
      </c>
      <c r="C25" s="9" t="n">
        <f aca="false">IF(C$21=0,0,C6/C$21)</f>
        <v>0.174484899630987</v>
      </c>
      <c r="D25" s="9" t="n">
        <f aca="false">IF(D$21=0,0,D6/D$21)</f>
        <v>0.175695625443319</v>
      </c>
      <c r="E25" s="9" t="n">
        <f aca="false">IF(E$21=0,0,E6/E$21)</f>
        <v>0.175577343530229</v>
      </c>
      <c r="F25" s="9" t="n">
        <f aca="false">IF(F$21=0,0,F6/F$21)</f>
        <v>0.178692858393501</v>
      </c>
      <c r="G25" s="9" t="n">
        <f aca="false">IF(G$21=0,0,G6/G$21)</f>
        <v>0.177196710863289</v>
      </c>
      <c r="H25" s="9" t="n">
        <f aca="false">IF(H$21=0,0,H6/H$21)</f>
        <v>0.177508497239884</v>
      </c>
      <c r="I25" s="9" t="n">
        <f aca="false">IF(I$21=0,0,I6/I$21)</f>
        <v>0.175997326415889</v>
      </c>
      <c r="J25" s="9" t="n">
        <f aca="false">IF(J$21=0,0,J6/J$21)</f>
        <v>0.175442614754798</v>
      </c>
      <c r="K25" s="9" t="n">
        <f aca="false">IF(K$21=0,0,K6/K$21)</f>
        <v>0.175571566889736</v>
      </c>
      <c r="L25" s="9" t="n">
        <f aca="false">IF(L$21=0,0,L6/L$21)</f>
        <v>0.175042087032896</v>
      </c>
      <c r="M25" s="9" t="n">
        <f aca="false">IF(M$21=0,0,M6/M$21)</f>
        <v>0.174552147183413</v>
      </c>
      <c r="N25" s="9" t="n">
        <f aca="false">IF(N$21=0,0,N6/N$21)</f>
        <v>0.174188405117973</v>
      </c>
      <c r="O25" s="9" t="n">
        <f aca="false">IF(O$21=0,0,O6/O$21)</f>
        <v>0.17794847363788</v>
      </c>
    </row>
    <row r="26" customFormat="false" ht="15" hidden="false" customHeight="false" outlineLevel="0" collapsed="false">
      <c r="A26" s="5" t="str">
        <f aca="false">A7</f>
        <v>Claro</v>
      </c>
      <c r="B26" s="2" t="str">
        <f aca="false">B7</f>
        <v>TELECOM AMERICAS</v>
      </c>
      <c r="C26" s="9" t="n">
        <f aca="false">IF(C$21=0,0,C7/C$21)</f>
        <v>0.0542556291451221</v>
      </c>
      <c r="D26" s="9" t="n">
        <f aca="false">IF(D$21=0,0,D7/D$21)</f>
        <v>0.0558608140577779</v>
      </c>
      <c r="E26" s="9" t="n">
        <f aca="false">IF(E$21=0,0,E7/E$21)</f>
        <v>0.0569845669335177</v>
      </c>
      <c r="F26" s="9" t="n">
        <f aca="false">IF(F$21=0,0,F7/F$21)</f>
        <v>0.0590621488502049</v>
      </c>
      <c r="G26" s="9" t="n">
        <f aca="false">IF(G$21=0,0,G7/G$21)</f>
        <v>0.0597305795204531</v>
      </c>
      <c r="H26" s="9" t="n">
        <f aca="false">IF(H$21=0,0,H7/H$21)</f>
        <v>0.0610718058082521</v>
      </c>
      <c r="I26" s="9" t="n">
        <f aca="false">IF(I$21=0,0,I7/I$21)</f>
        <v>0.0616016108019699</v>
      </c>
      <c r="J26" s="9" t="n">
        <f aca="false">IF(J$21=0,0,J7/J$21)</f>
        <v>0.0628748335578898</v>
      </c>
      <c r="K26" s="9" t="n">
        <f aca="false">IF(K$21=0,0,K7/K$21)</f>
        <v>0.0644335297124484</v>
      </c>
      <c r="L26" s="9" t="n">
        <f aca="false">IF(L$21=0,0,L7/L$21)</f>
        <v>0.0658231287996977</v>
      </c>
      <c r="M26" s="9" t="n">
        <f aca="false">IF(M$21=0,0,M7/M$21)</f>
        <v>0.0673543435703186</v>
      </c>
      <c r="N26" s="9" t="n">
        <f aca="false">IF(N$21=0,0,N7/N$21)</f>
        <v>0.069160164263619</v>
      </c>
      <c r="O26" s="9" t="n">
        <f aca="false">IF(O$21=0,0,O7/O$21)</f>
        <v>0.0726619297116409</v>
      </c>
    </row>
    <row r="27" customFormat="false" ht="15" hidden="false" customHeight="false" outlineLevel="0" collapsed="false">
      <c r="A27" s="5" t="str">
        <f aca="false">A8</f>
        <v>Oi</v>
      </c>
      <c r="B27" s="2" t="str">
        <f aca="false">B8</f>
        <v>OI</v>
      </c>
      <c r="C27" s="9" t="n">
        <f aca="false">IF(C$21=0,0,C8/C$21)</f>
        <v>0.0891626198097955</v>
      </c>
      <c r="D27" s="9" t="n">
        <f aca="false">IF(D$21=0,0,D8/D$21)</f>
        <v>0.0873948920156963</v>
      </c>
      <c r="E27" s="9" t="n">
        <f aca="false">IF(E$21=0,0,E8/E$21)</f>
        <v>0.0848474577233462</v>
      </c>
      <c r="F27" s="9" t="n">
        <f aca="false">IF(F$21=0,0,F8/F$21)</f>
        <v>0.0835321643054132</v>
      </c>
      <c r="G27" s="9" t="n">
        <f aca="false">IF(G$21=0,0,G8/G$21)</f>
        <v>0.0805992827022025</v>
      </c>
      <c r="H27" s="9" t="n">
        <f aca="false">IF(H$21=0,0,H8/H$21)</f>
        <v>0.0786371922038534</v>
      </c>
      <c r="I27" s="9" t="n">
        <f aca="false">IF(I$21=0,0,I8/I$21)</f>
        <v>0.0765776078127061</v>
      </c>
      <c r="J27" s="9" t="n">
        <f aca="false">IF(J$21=0,0,J8/J$21)</f>
        <v>0.0750693367050092</v>
      </c>
      <c r="K27" s="9" t="n">
        <f aca="false">IF(K$21=0,0,K8/K$21)</f>
        <v>0.0741367314396506</v>
      </c>
      <c r="L27" s="9" t="n">
        <f aca="false">IF(L$21=0,0,L8/L$21)</f>
        <v>0.0725640380360492</v>
      </c>
      <c r="M27" s="9" t="n">
        <f aca="false">IF(M$21=0,0,M8/M$21)</f>
        <v>0.0714563823295045</v>
      </c>
      <c r="N27" s="9" t="n">
        <f aca="false">IF(N$21=0,0,N8/N$21)</f>
        <v>0.0709039698219064</v>
      </c>
      <c r="O27" s="9" t="n">
        <f aca="false">IF(O$21=0,0,O8/O$21)</f>
        <v>0.072296165045701</v>
      </c>
    </row>
    <row r="28" customFormat="false" ht="15" hidden="false" customHeight="false" outlineLevel="0" collapsed="false">
      <c r="A28" s="5" t="str">
        <f aca="false">A9</f>
        <v>Brisanet</v>
      </c>
      <c r="B28" s="2" t="str">
        <f aca="false">B9</f>
        <v>BRISANET</v>
      </c>
      <c r="C28" s="9" t="n">
        <f aca="false">IF(C$21=0,0,C9/C$21)</f>
        <v>0.0345593736829463</v>
      </c>
      <c r="D28" s="9" t="n">
        <f aca="false">IF(D$21=0,0,D9/D$21)</f>
        <v>0.034610108523104</v>
      </c>
      <c r="E28" s="9" t="n">
        <f aca="false">IF(E$21=0,0,E9/E$21)</f>
        <v>0.0343989092755169</v>
      </c>
      <c r="F28" s="9" t="n">
        <f aca="false">IF(F$21=0,0,F9/F$21)</f>
        <v>0.0347845154622267</v>
      </c>
      <c r="G28" s="9" t="n">
        <f aca="false">IF(G$21=0,0,G9/G$21)</f>
        <v>0.0343477757511292</v>
      </c>
      <c r="H28" s="9" t="n">
        <f aca="false">IF(H$21=0,0,H9/H$21)</f>
        <v>0.0342317620215751</v>
      </c>
      <c r="I28" s="9" t="n">
        <f aca="false">IF(I$21=0,0,I9/I$21)</f>
        <v>0.0337763859813882</v>
      </c>
      <c r="J28" s="9" t="n">
        <f aca="false">IF(J$21=0,0,J9/J$21)</f>
        <v>0.0334488122063327</v>
      </c>
      <c r="K28" s="9" t="n">
        <f aca="false">IF(K$21=0,0,K9/K$21)</f>
        <v>0.0332685649209527</v>
      </c>
      <c r="L28" s="9" t="n">
        <f aca="false">IF(L$21=0,0,L9/L$21)</f>
        <v>0.0329629342072998</v>
      </c>
      <c r="M28" s="9" t="n">
        <f aca="false">IF(M$21=0,0,M9/M$21)</f>
        <v>0.032650146587377</v>
      </c>
      <c r="N28" s="9" t="n">
        <f aca="false">IF(N$21=0,0,N9/N$21)</f>
        <v>0.032348559538495</v>
      </c>
      <c r="O28" s="9" t="n">
        <f aca="false">IF(O$21=0,0,O9/O$21)</f>
        <v>0.0328236282098918</v>
      </c>
    </row>
    <row r="29" customFormat="false" ht="15" hidden="false" customHeight="false" outlineLevel="0" collapsed="false">
      <c r="A29" s="5" t="str">
        <f aca="false">A10</f>
        <v>Brasil Tecpar</v>
      </c>
      <c r="B29" s="2" t="str">
        <f aca="false">B10</f>
        <v>BRASIL TECPAR</v>
      </c>
      <c r="C29" s="9" t="n">
        <f aca="false">IF(C$21=0,0,C10/C$21)</f>
        <v>0.0245570740878804</v>
      </c>
      <c r="D29" s="9" t="n">
        <f aca="false">IF(D$21=0,0,D10/D$21)</f>
        <v>0.0298555975825201</v>
      </c>
      <c r="E29" s="9" t="n">
        <f aca="false">IF(E$21=0,0,E10/E$21)</f>
        <v>0.0295230561969619</v>
      </c>
      <c r="F29" s="9" t="n">
        <f aca="false">IF(F$21=0,0,F10/F$21)</f>
        <v>0.0301004172980129</v>
      </c>
      <c r="G29" s="9" t="n">
        <f aca="false">IF(G$21=0,0,G10/G$21)</f>
        <v>0.0301289266215776</v>
      </c>
      <c r="H29" s="9" t="n">
        <f aca="false">IF(H$21=0,0,H10/H$21)</f>
        <v>0.0302728480517055</v>
      </c>
      <c r="I29" s="9" t="n">
        <f aca="false">IF(I$21=0,0,I10/I$21)</f>
        <v>0.0299065317093291</v>
      </c>
      <c r="J29" s="9" t="n">
        <f aca="false">IF(J$21=0,0,J10/J$21)</f>
        <v>0.0297001638797741</v>
      </c>
      <c r="K29" s="9" t="n">
        <f aca="false">IF(K$21=0,0,K10/K$21)</f>
        <v>0.0295937301430995</v>
      </c>
      <c r="L29" s="9" t="n">
        <f aca="false">IF(L$21=0,0,L10/L$21)</f>
        <v>0.0290653185636129</v>
      </c>
      <c r="M29" s="9" t="n">
        <f aca="false">IF(M$21=0,0,M10/M$21)</f>
        <v>0.0288354694125927</v>
      </c>
      <c r="N29" s="9" t="n">
        <f aca="false">IF(N$21=0,0,N10/N$21)</f>
        <v>0.0286918700983797</v>
      </c>
      <c r="O29" s="9" t="n">
        <f aca="false">IF(O$21=0,0,O10/O$21)</f>
        <v>0.029135252545116</v>
      </c>
    </row>
    <row r="30" customFormat="false" ht="15" hidden="false" customHeight="false" outlineLevel="0" collapsed="false">
      <c r="A30" s="5" t="str">
        <f aca="false">A11</f>
        <v>Vero</v>
      </c>
      <c r="B30" s="2" t="str">
        <f aca="false">B11</f>
        <v>VERO</v>
      </c>
      <c r="C30" s="9" t="n">
        <f aca="false">IF(C$21=0,0,C11/C$21)</f>
        <v>0.0318253617167522</v>
      </c>
      <c r="D30" s="9" t="n">
        <f aca="false">IF(D$21=0,0,D11/D$21)</f>
        <v>0.0316108677007331</v>
      </c>
      <c r="E30" s="9" t="n">
        <f aca="false">IF(E$21=0,0,E11/E$21)</f>
        <v>0.0311782538591823</v>
      </c>
      <c r="F30" s="9" t="n">
        <f aca="false">IF(F$21=0,0,F11/F$21)</f>
        <v>0.0313037690909131</v>
      </c>
      <c r="G30" s="9" t="n">
        <f aca="false">IF(G$21=0,0,G11/G$21)</f>
        <v>0.0307504870989709</v>
      </c>
      <c r="H30" s="9" t="n">
        <f aca="false">IF(H$21=0,0,H11/H$21)</f>
        <v>0.0303840383976726</v>
      </c>
      <c r="I30" s="9" t="n">
        <f aca="false">IF(I$21=0,0,I11/I$21)</f>
        <v>0.0296280667108411</v>
      </c>
      <c r="J30" s="9" t="n">
        <f aca="false">IF(J$21=0,0,J11/J$21)</f>
        <v>0.0290259018709772</v>
      </c>
      <c r="K30" s="9" t="n">
        <f aca="false">IF(K$21=0,0,K11/K$21)</f>
        <v>0.0285453913791884</v>
      </c>
      <c r="L30" s="9" t="n">
        <f aca="false">IF(L$21=0,0,L11/L$21)</f>
        <v>0.0281148535631704</v>
      </c>
      <c r="M30" s="9" t="n">
        <f aca="false">IF(M$21=0,0,M11/M$21)</f>
        <v>0.0276967220296091</v>
      </c>
      <c r="N30" s="9" t="n">
        <f aca="false">IF(N$21=0,0,N11/N$21)</f>
        <v>0.027253242606341</v>
      </c>
      <c r="O30" s="9" t="n">
        <f aca="false">IF(O$21=0,0,O11/O$21)</f>
        <v>0.0274647624400689</v>
      </c>
    </row>
    <row r="31" customFormat="false" ht="15" hidden="false" customHeight="false" outlineLevel="0" collapsed="false">
      <c r="A31" s="5" t="str">
        <f aca="false">A12</f>
        <v>Giga Mais Fibra</v>
      </c>
      <c r="B31" s="2" t="str">
        <f aca="false">B12</f>
        <v>GIGA MAIS FIBRA</v>
      </c>
      <c r="C31" s="9" t="n">
        <f aca="false">IF(C$21=0,0,C12/C$21)</f>
        <v>0.0357595031131241</v>
      </c>
      <c r="D31" s="9" t="n">
        <f aca="false">IF(D$21=0,0,D12/D$21)</f>
        <v>0.0349610977843129</v>
      </c>
      <c r="E31" s="9" t="n">
        <f aca="false">IF(E$21=0,0,E12/E$21)</f>
        <v>0.0341856854224296</v>
      </c>
      <c r="F31" s="9" t="n">
        <f aca="false">IF(F$21=0,0,F12/F$21)</f>
        <v>0.033822951427649</v>
      </c>
      <c r="G31" s="9" t="n">
        <f aca="false">IF(G$21=0,0,G12/G$21)</f>
        <v>0.0325809506469431</v>
      </c>
      <c r="H31" s="9" t="n">
        <f aca="false">IF(H$21=0,0,H12/H$21)</f>
        <v>0.0318109887010774</v>
      </c>
      <c r="I31" s="9" t="n">
        <f aca="false">IF(I$21=0,0,I12/I$21)</f>
        <v>0.0308305615402534</v>
      </c>
      <c r="J31" s="9" t="n">
        <f aca="false">IF(J$21=0,0,J12/J$21)</f>
        <v>0.0299482550765529</v>
      </c>
      <c r="K31" s="9" t="n">
        <f aca="false">IF(K$21=0,0,K12/K$21)</f>
        <v>0.0292904418224232</v>
      </c>
      <c r="L31" s="9" t="n">
        <f aca="false">IF(L$21=0,0,L12/L$21)</f>
        <v>0.0285772570422462</v>
      </c>
      <c r="M31" s="9" t="n">
        <f aca="false">IF(M$21=0,0,M12/M$21)</f>
        <v>0.0279357575207642</v>
      </c>
      <c r="N31" s="9" t="n">
        <f aca="false">IF(N$21=0,0,N12/N$21)</f>
        <v>0.0273485818326887</v>
      </c>
      <c r="O31" s="9" t="n">
        <f aca="false">IF(O$21=0,0,O12/O$21)</f>
        <v>0.0274396379620251</v>
      </c>
    </row>
    <row r="32" customFormat="false" ht="15" hidden="false" customHeight="false" outlineLevel="0" collapsed="false">
      <c r="A32" s="5" t="str">
        <f aca="false">A13</f>
        <v>Desktop</v>
      </c>
      <c r="B32" s="2" t="str">
        <f aca="false">B13</f>
        <v>DESKTOP</v>
      </c>
      <c r="C32" s="9" t="n">
        <f aca="false">IF(C$21=0,0,C13/C$21)</f>
        <v>0.0276282239857989</v>
      </c>
      <c r="D32" s="9" t="n">
        <f aca="false">IF(D$21=0,0,D13/D$21)</f>
        <v>0.0277043745705586</v>
      </c>
      <c r="E32" s="9" t="n">
        <f aca="false">IF(E$21=0,0,E13/E$21)</f>
        <v>0.0275826596124994</v>
      </c>
      <c r="F32" s="9" t="n">
        <f aca="false">IF(F$21=0,0,F13/F$21)</f>
        <v>0.0278647636025411</v>
      </c>
      <c r="G32" s="9" t="n">
        <f aca="false">IF(G$21=0,0,G13/G$21)</f>
        <v>0.0274412652859587</v>
      </c>
      <c r="H32" s="9" t="n">
        <f aca="false">IF(H$21=0,0,H13/H$21)</f>
        <v>0.027285641018331</v>
      </c>
      <c r="I32" s="9" t="n">
        <f aca="false">IF(I$21=0,0,I13/I$21)</f>
        <v>0.0268375699836162</v>
      </c>
      <c r="J32" s="9" t="n">
        <f aca="false">IF(J$21=0,0,J13/J$21)</f>
        <v>0.0264434401891498</v>
      </c>
      <c r="K32" s="9" t="n">
        <f aca="false">IF(K$21=0,0,K13/K$21)</f>
        <v>0.0261877448312493</v>
      </c>
      <c r="L32" s="9" t="n">
        <f aca="false">IF(L$21=0,0,L13/L$21)</f>
        <v>0.025780551921681</v>
      </c>
      <c r="M32" s="9" t="n">
        <f aca="false">IF(M$21=0,0,M13/M$21)</f>
        <v>0.0255028407638849</v>
      </c>
      <c r="N32" s="9" t="n">
        <f aca="false">IF(N$21=0,0,N13/N$21)</f>
        <v>0.0251870545946104</v>
      </c>
      <c r="O32" s="9" t="n">
        <f aca="false">IF(O$21=0,0,O13/O$21)</f>
        <v>0.0254356038957048</v>
      </c>
    </row>
    <row r="33" customFormat="false" ht="15" hidden="false" customHeight="false" outlineLevel="0" collapsed="false">
      <c r="A33" s="5" t="str">
        <f aca="false">A14</f>
        <v>TIM</v>
      </c>
      <c r="B33" s="2" t="str">
        <f aca="false">B14</f>
        <v>TELECOM ITALIA</v>
      </c>
      <c r="C33" s="9" t="n">
        <f aca="false">IF(C$21=0,0,C14/C$21)</f>
        <v>0.0186564415867962</v>
      </c>
      <c r="D33" s="9" t="n">
        <f aca="false">IF(D$21=0,0,D14/D$21)</f>
        <v>0.0188570165968308</v>
      </c>
      <c r="E33" s="9" t="n">
        <f aca="false">IF(E$21=0,0,E14/E$21)</f>
        <v>0.0188964317214825</v>
      </c>
      <c r="F33" s="9" t="n">
        <f aca="false">IF(F$21=0,0,F14/F$21)</f>
        <v>0.0193525555024457</v>
      </c>
      <c r="G33" s="9" t="n">
        <f aca="false">IF(G$21=0,0,G14/G$21)</f>
        <v>0.0192572113565725</v>
      </c>
      <c r="H33" s="9" t="n">
        <f aca="false">IF(H$21=0,0,H14/H$21)</f>
        <v>0.0193791083189377</v>
      </c>
      <c r="I33" s="9" t="n">
        <f aca="false">IF(I$21=0,0,I14/I$21)</f>
        <v>0.019350649679783</v>
      </c>
      <c r="J33" s="9" t="n">
        <f aca="false">IF(J$21=0,0,J14/J$21)</f>
        <v>0.0193747285405175</v>
      </c>
      <c r="K33" s="9" t="n">
        <f aca="false">IF(K$21=0,0,K14/K$21)</f>
        <v>0.0193667617639111</v>
      </c>
      <c r="L33" s="9" t="n">
        <f aca="false">IF(L$21=0,0,L14/L$21)</f>
        <v>0.019298715849366</v>
      </c>
      <c r="M33" s="9" t="n">
        <f aca="false">IF(M$21=0,0,M14/M$21)</f>
        <v>0.0192136421498314</v>
      </c>
      <c r="N33" s="9" t="n">
        <f aca="false">IF(N$21=0,0,N14/N$21)</f>
        <v>0.0192590705609547</v>
      </c>
      <c r="O33" s="9" t="n">
        <f aca="false">IF(O$21=0,0,O14/O$21)</f>
        <v>0.0197604552563946</v>
      </c>
    </row>
    <row r="34" customFormat="false" ht="15" hidden="false" customHeight="false" outlineLevel="0" collapsed="false">
      <c r="A34" s="5" t="str">
        <f aca="false">A15</f>
        <v>Unifique</v>
      </c>
      <c r="B34" s="2" t="str">
        <f aca="false">B15</f>
        <v>UNIFIQUE</v>
      </c>
      <c r="C34" s="9" t="n">
        <f aca="false">IF(C$21=0,0,C15/C$21)</f>
        <v>0.0188975988392922</v>
      </c>
      <c r="D34" s="9" t="n">
        <f aca="false">IF(D$21=0,0,D15/D$21)</f>
        <v>0.0189188878504541</v>
      </c>
      <c r="E34" s="9" t="n">
        <f aca="false">IF(E$21=0,0,E15/E$21)</f>
        <v>0.0188225565471307</v>
      </c>
      <c r="F34" s="9" t="n">
        <f aca="false">IF(F$21=0,0,F15/F$21)</f>
        <v>0.019652729705989</v>
      </c>
      <c r="G34" s="9" t="n">
        <f aca="false">IF(G$21=0,0,G15/G$21)</f>
        <v>0.0196176473156081</v>
      </c>
      <c r="H34" s="9" t="n">
        <f aca="false">IF(H$21=0,0,H15/H$21)</f>
        <v>0.0195941696951277</v>
      </c>
      <c r="I34" s="9" t="n">
        <f aca="false">IF(I$21=0,0,I15/I$21)</f>
        <v>0.0193867972199029</v>
      </c>
      <c r="J34" s="9" t="n">
        <f aca="false">IF(J$21=0,0,J15/J$21)</f>
        <v>0.0192280114801436</v>
      </c>
      <c r="K34" s="9" t="n">
        <f aca="false">IF(K$21=0,0,K15/K$21)</f>
        <v>0.0191369444511506</v>
      </c>
      <c r="L34" s="9" t="n">
        <f aca="false">IF(L$21=0,0,L15/L$21)</f>
        <v>0.0189187662298131</v>
      </c>
      <c r="M34" s="9" t="n">
        <f aca="false">IF(M$21=0,0,M15/M$21)</f>
        <v>0.0187599681873072</v>
      </c>
      <c r="N34" s="9" t="n">
        <f aca="false">IF(N$21=0,0,N15/N$21)</f>
        <v>0.0186596932672292</v>
      </c>
      <c r="O34" s="9" t="n">
        <f aca="false">IF(O$21=0,0,O15/O$21)</f>
        <v>0.0189414910361232</v>
      </c>
    </row>
    <row r="35" customFormat="false" ht="15" hidden="false" customHeight="false" outlineLevel="0" collapsed="false">
      <c r="A35" s="5" t="str">
        <f aca="false">A16</f>
        <v>Algar</v>
      </c>
      <c r="B35" s="2" t="str">
        <f aca="false">B16</f>
        <v>ALGAR (CTBC TELECOM)</v>
      </c>
      <c r="C35" s="9" t="n">
        <f aca="false">IF(C$21=0,0,C16/C$21)</f>
        <v>0.0191841266689017</v>
      </c>
      <c r="D35" s="9" t="n">
        <f aca="false">IF(D$21=0,0,D16/D$21)</f>
        <v>0.0191547156268815</v>
      </c>
      <c r="E35" s="9" t="n">
        <f aca="false">IF(E$21=0,0,E16/E$21)</f>
        <v>0.0191389584017066</v>
      </c>
      <c r="F35" s="9" t="n">
        <f aca="false">IF(F$21=0,0,F16/F$21)</f>
        <v>0.019368300680635</v>
      </c>
      <c r="G35" s="9" t="n">
        <f aca="false">IF(G$21=0,0,G16/G$21)</f>
        <v>0.0190839165303711</v>
      </c>
      <c r="H35" s="9" t="n">
        <f aca="false">IF(H$21=0,0,H16/H$21)</f>
        <v>0.0189346857922797</v>
      </c>
      <c r="I35" s="9" t="n">
        <f aca="false">IF(I$21=0,0,I16/I$21)</f>
        <v>0.0186263650198165</v>
      </c>
      <c r="J35" s="9" t="n">
        <f aca="false">IF(J$21=0,0,J16/J$21)</f>
        <v>0.018415942975896</v>
      </c>
      <c r="K35" s="9" t="n">
        <f aca="false">IF(K$21=0,0,K16/K$21)</f>
        <v>0.0182644571841116</v>
      </c>
      <c r="L35" s="9" t="n">
        <f aca="false">IF(L$21=0,0,L16/L$21)</f>
        <v>0.0179996324066403</v>
      </c>
      <c r="M35" s="9" t="n">
        <f aca="false">IF(M$21=0,0,M16/M$21)</f>
        <v>0.0177772170929987</v>
      </c>
      <c r="N35" s="9" t="n">
        <f aca="false">IF(N$21=0,0,N16/N$21)</f>
        <v>0.0175450677125139</v>
      </c>
      <c r="O35" s="9" t="n">
        <f aca="false">IF(O$21=0,0,O16/O$21)</f>
        <v>0.0177450629654794</v>
      </c>
    </row>
    <row r="36" customFormat="false" ht="15" hidden="false" customHeight="false" outlineLevel="0" collapsed="false">
      <c r="A36" s="5" t="str">
        <f aca="false">A17</f>
        <v>Alares</v>
      </c>
      <c r="B36" s="2" t="str">
        <f aca="false">B17</f>
        <v>ALARES</v>
      </c>
      <c r="C36" s="9" t="n">
        <f aca="false">IF(C$21=0,0,C17/C$21)</f>
        <v>0.0182539718787274</v>
      </c>
      <c r="D36" s="9" t="n">
        <f aca="false">IF(D$21=0,0,D17/D$21)</f>
        <v>0.0182162385742587</v>
      </c>
      <c r="E36" s="9" t="n">
        <f aca="false">IF(E$21=0,0,E17/E$21)</f>
        <v>0.0186473119051526</v>
      </c>
      <c r="F36" s="9" t="n">
        <f aca="false">IF(F$21=0,0,F17/F$21)</f>
        <v>0.0187983575516645</v>
      </c>
      <c r="G36" s="9" t="n">
        <f aca="false">IF(G$21=0,0,G17/G$21)</f>
        <v>0.0185056229191889</v>
      </c>
      <c r="H36" s="9" t="n">
        <f aca="false">IF(H$21=0,0,H17/H$21)</f>
        <v>0.0178193259890626</v>
      </c>
      <c r="I36" s="9" t="n">
        <f aca="false">IF(I$21=0,0,I17/I$21)</f>
        <v>0.0175179960728565</v>
      </c>
      <c r="J36" s="9" t="n">
        <f aca="false">IF(J$21=0,0,J17/J$21)</f>
        <v>0.0172875494168738</v>
      </c>
      <c r="K36" s="9" t="n">
        <f aca="false">IF(K$21=0,0,K17/K$21)</f>
        <v>0.0171259722146363</v>
      </c>
      <c r="L36" s="9" t="n">
        <f aca="false">IF(L$21=0,0,L17/L$21)</f>
        <v>0.0168716240683353</v>
      </c>
      <c r="M36" s="9" t="n">
        <f aca="false">IF(M$21=0,0,M17/M$21)</f>
        <v>0.0166391928997908</v>
      </c>
      <c r="N36" s="9" t="n">
        <f aca="false">IF(N$21=0,0,N17/N$21)</f>
        <v>0.0167899255146783</v>
      </c>
      <c r="O36" s="9" t="n">
        <f aca="false">IF(O$21=0,0,O17/O$21)</f>
        <v>0.0169255873054515</v>
      </c>
    </row>
    <row r="37" customFormat="false" ht="15" hidden="false" customHeight="false" outlineLevel="0" collapsed="false">
      <c r="A37" s="5" t="str">
        <f aca="false">A18</f>
        <v>Sky/Zaaz</v>
      </c>
      <c r="B37" s="2" t="str">
        <f aca="false">B18</f>
        <v>SKY/ZAAZ</v>
      </c>
      <c r="C37" s="9" t="n">
        <f aca="false">IF(C$21=0,0,C18/C$21)</f>
        <v>0</v>
      </c>
      <c r="D37" s="9" t="n">
        <f aca="false">IF(D$21=0,0,D18/D$21)</f>
        <v>0</v>
      </c>
      <c r="E37" s="9" t="n">
        <f aca="false">IF(E$21=0,0,E18/E$21)</f>
        <v>0</v>
      </c>
      <c r="F37" s="9" t="n">
        <f aca="false">IF(F$21=0,0,F18/F$21)</f>
        <v>0</v>
      </c>
      <c r="G37" s="9" t="n">
        <f aca="false">IF(G$21=0,0,G18/G$21)</f>
        <v>0</v>
      </c>
      <c r="H37" s="9" t="n">
        <f aca="false">IF(H$21=0,0,H18/H$21)</f>
        <v>0.0105822395945027</v>
      </c>
      <c r="I37" s="9" t="n">
        <f aca="false">IF(I$21=0,0,I18/I$21)</f>
        <v>0.0107111652815371</v>
      </c>
      <c r="J37" s="9" t="n">
        <f aca="false">IF(J$21=0,0,J18/J$21)</f>
        <v>0.0105952542682374</v>
      </c>
      <c r="K37" s="9" t="n">
        <f aca="false">IF(K$21=0,0,K18/K$21)</f>
        <v>0.0105191761834117</v>
      </c>
      <c r="L37" s="9" t="n">
        <f aca="false">IF(L$21=0,0,L18/L$21)</f>
        <v>0.0104086554676547</v>
      </c>
      <c r="M37" s="9" t="n">
        <f aca="false">IF(M$21=0,0,M18/M$21)</f>
        <v>0.0104654068658233</v>
      </c>
      <c r="N37" s="9" t="n">
        <f aca="false">IF(N$21=0,0,N18/N$21)</f>
        <v>0.0176727335196904</v>
      </c>
      <c r="O37" s="9" t="n">
        <f aca="false">IF(O$21=0,0,O18/O$21)</f>
        <v>0.0105877832214857</v>
      </c>
    </row>
    <row r="38" customFormat="false" ht="15" hidden="false" customHeight="false" outlineLevel="0" collapsed="false">
      <c r="A38" s="5" t="str">
        <f aca="false">A19</f>
        <v>Ligga Telecom</v>
      </c>
      <c r="B38" s="2" t="str">
        <f aca="false">B19</f>
        <v>LIGGA TELECOM</v>
      </c>
      <c r="C38" s="9" t="n">
        <f aca="false">IF(C$21=0,0,C19/C$21)</f>
        <v>0.00766723340862098</v>
      </c>
      <c r="D38" s="9" t="n">
        <f aca="false">IF(D$21=0,0,D19/D$21)</f>
        <v>0.00768582059589257</v>
      </c>
      <c r="E38" s="9" t="n">
        <f aca="false">IF(E$21=0,0,E19/E$21)</f>
        <v>0.00765724080184256</v>
      </c>
      <c r="F38" s="9" t="n">
        <f aca="false">IF(F$21=0,0,F19/F$21)</f>
        <v>0.00774787435477091</v>
      </c>
      <c r="G38" s="9" t="n">
        <f aca="false">IF(G$21=0,0,G19/G$21)</f>
        <v>0.00765232392408968</v>
      </c>
      <c r="H38" s="9" t="n">
        <f aca="false">IF(H$21=0,0,H19/H$21)</f>
        <v>0.00766461124166024</v>
      </c>
      <c r="I38" s="9" t="n">
        <f aca="false">IF(I$21=0,0,I19/I$21)</f>
        <v>0.00759860864427739</v>
      </c>
      <c r="J38" s="9" t="n">
        <f aca="false">IF(J$21=0,0,J19/J$21)</f>
        <v>0.00756017539327744</v>
      </c>
      <c r="K38" s="9" t="n">
        <f aca="false">IF(K$21=0,0,K19/K$21)</f>
        <v>0.0075403676384744</v>
      </c>
      <c r="L38" s="9" t="n">
        <f aca="false">IF(L$21=0,0,L19/L$21)</f>
        <v>0.00747538681379054</v>
      </c>
      <c r="M38" s="9" t="n">
        <f aca="false">IF(M$21=0,0,M19/M$21)</f>
        <v>0.00740731381814232</v>
      </c>
      <c r="N38" s="9" t="n">
        <f aca="false">IF(N$21=0,0,N19/N$21)</f>
        <v>0.00736383526761403</v>
      </c>
      <c r="O38" s="9" t="n">
        <f aca="false">IF(O$21=0,0,O19/O$21)</f>
        <v>0.00754362986013742</v>
      </c>
    </row>
    <row r="39" customFormat="false" ht="15" hidden="false" customHeight="false" outlineLevel="0" collapsed="false">
      <c r="A39" s="5" t="str">
        <f aca="false">A20</f>
        <v>Demais grupos</v>
      </c>
      <c r="B39" s="2" t="str">
        <f aca="false">B20</f>
        <v>DEMAIS GRUPOS</v>
      </c>
      <c r="C39" s="9" t="n">
        <f aca="false">IF(C$21=0,0,C20/C$21)</f>
        <v>0.00869853885180817</v>
      </c>
      <c r="D39" s="9" t="n">
        <f aca="false">IF(D$21=0,0,D20/D$21)</f>
        <v>0.0086609346824366</v>
      </c>
      <c r="E39" s="9" t="n">
        <f aca="false">IF(E$21=0,0,E20/E$21)</f>
        <v>0.00849621737130198</v>
      </c>
      <c r="F39" s="9" t="n">
        <f aca="false">IF(F$21=0,0,F20/F$21)</f>
        <v>0.00863793865789394</v>
      </c>
      <c r="G39" s="9" t="n">
        <f aca="false">IF(G$21=0,0,G20/G$21)</f>
        <v>0.00855340245361101</v>
      </c>
      <c r="H39" s="9" t="n">
        <f aca="false">IF(H$21=0,0,H20/H$21)</f>
        <v>0.00356629141543887</v>
      </c>
      <c r="I39" s="9" t="n">
        <f aca="false">IF(I$21=0,0,I20/I$21)</f>
        <v>0.00352796434616503</v>
      </c>
      <c r="J39" s="9" t="n">
        <f aca="false">IF(J$21=0,0,J20/J$21)</f>
        <v>0.00351793931554132</v>
      </c>
      <c r="K39" s="9" t="n">
        <f aca="false">IF(K$21=0,0,K20/K$21)</f>
        <v>0.00294116961969687</v>
      </c>
      <c r="L39" s="9" t="n">
        <f aca="false">IF(L$21=0,0,L20/L$21)</f>
        <v>0.00292765998632817</v>
      </c>
      <c r="M39" s="9" t="n">
        <f aca="false">IF(M$21=0,0,M20/M$21)</f>
        <v>0.00283152194501295</v>
      </c>
      <c r="N39" s="9" t="n">
        <f aca="false">IF(N$21=0,0,N20/N$21)</f>
        <v>0.00292239021014002</v>
      </c>
      <c r="O39" s="9" t="n">
        <f aca="false">IF(O$21=0,0,O20/O$21)</f>
        <v>0.00288168599866327</v>
      </c>
    </row>
    <row r="40" customFormat="false" ht="15" hidden="false" customHeight="false" outlineLevel="0" collapsed="false">
      <c r="A40" s="7" t="str">
        <f aca="false">A21</f>
        <v>Total</v>
      </c>
      <c r="C40" s="10" t="n">
        <f aca="false">IF(C$21=0,0,C21/C$21)</f>
        <v>1</v>
      </c>
      <c r="D40" s="10" t="n">
        <f aca="false">IF(D$21=0,0,D21/D$21)</f>
        <v>1</v>
      </c>
      <c r="E40" s="10" t="n">
        <f aca="false">IF(E$21=0,0,E21/E$21)</f>
        <v>1</v>
      </c>
      <c r="F40" s="10" t="n">
        <f aca="false">IF(F$21=0,0,F21/F$21)</f>
        <v>1</v>
      </c>
      <c r="G40" s="10" t="n">
        <f aca="false">IF(G$21=0,0,G21/G$21)</f>
        <v>1</v>
      </c>
      <c r="H40" s="10" t="n">
        <f aca="false">IF(H$21=0,0,H21/H$21)</f>
        <v>1</v>
      </c>
      <c r="I40" s="10" t="n">
        <f aca="false">IF(I$21=0,0,I21/I$21)</f>
        <v>1</v>
      </c>
      <c r="J40" s="10" t="n">
        <f aca="false">IF(J$21=0,0,J21/J$21)</f>
        <v>1</v>
      </c>
      <c r="K40" s="10" t="n">
        <f aca="false">IF(K$21=0,0,K21/K$21)</f>
        <v>1</v>
      </c>
      <c r="L40" s="10" t="n">
        <f aca="false">IF(L$21=0,0,L21/L$21)</f>
        <v>1</v>
      </c>
      <c r="M40" s="10" t="n">
        <f aca="false">IF(M$21=0,0,M21/M$21)</f>
        <v>1</v>
      </c>
      <c r="N40" s="10" t="n">
        <f aca="false">IF(N$21=0,0,N21/N$21)</f>
        <v>1</v>
      </c>
      <c r="O40" s="10" t="n">
        <f aca="false">IF(O$21=0,0,O21/O$21)</f>
        <v>1</v>
      </c>
    </row>
    <row r="42" customFormat="false" ht="15" hidden="false" customHeight="false" outlineLevel="0" collapsed="false">
      <c r="A42" s="3" t="s">
        <v>41</v>
      </c>
      <c r="B42" s="3" t="s">
        <v>3</v>
      </c>
      <c r="C42" s="4" t="s">
        <v>4</v>
      </c>
      <c r="D42" s="4" t="s">
        <v>5</v>
      </c>
      <c r="E42" s="4" t="s">
        <v>6</v>
      </c>
      <c r="F42" s="4" t="s">
        <v>7</v>
      </c>
      <c r="G42" s="4" t="s">
        <v>8</v>
      </c>
      <c r="H42" s="4" t="s">
        <v>9</v>
      </c>
      <c r="I42" s="4" t="s">
        <v>10</v>
      </c>
      <c r="J42" s="4" t="s">
        <v>11</v>
      </c>
      <c r="K42" s="4" t="s">
        <v>12</v>
      </c>
      <c r="L42" s="4" t="s">
        <v>13</v>
      </c>
      <c r="M42" s="4" t="s">
        <v>14</v>
      </c>
      <c r="N42" s="4" t="s">
        <v>15</v>
      </c>
      <c r="O42" s="4" t="s">
        <v>16</v>
      </c>
    </row>
    <row r="43" customFormat="false" ht="15" hidden="false" customHeight="false" outlineLevel="0" collapsed="false">
      <c r="A43" s="5" t="str">
        <f aca="false">A5</f>
        <v>Outros</v>
      </c>
      <c r="B43" s="2" t="str">
        <f aca="false">B5</f>
        <v>OUTROS</v>
      </c>
      <c r="D43" s="11" t="n">
        <f aca="false">D5-C5</f>
        <v>-197769</v>
      </c>
      <c r="E43" s="11" t="n">
        <f aca="false">E5-D5</f>
        <v>334490</v>
      </c>
      <c r="F43" s="11" t="n">
        <f aca="false">F5-E5</f>
        <v>-453155</v>
      </c>
      <c r="G43" s="11" t="n">
        <f aca="false">G5-F5</f>
        <v>605408</v>
      </c>
      <c r="H43" s="11" t="n">
        <f aca="false">H5-G5</f>
        <v>-22718</v>
      </c>
      <c r="I43" s="11" t="n">
        <f aca="false">I5-H5</f>
        <v>617667</v>
      </c>
      <c r="J43" s="11" t="n">
        <f aca="false">J5-I5</f>
        <v>434427</v>
      </c>
      <c r="K43" s="11" t="n">
        <f aca="false">K5-J5</f>
        <v>257064</v>
      </c>
      <c r="L43" s="11" t="n">
        <f aca="false">L5-K5</f>
        <v>456257</v>
      </c>
      <c r="M43" s="11" t="n">
        <f aca="false">M5-L5</f>
        <v>344001</v>
      </c>
      <c r="N43" s="11" t="n">
        <f aca="false">N5-M5</f>
        <v>-55646</v>
      </c>
      <c r="O43" s="11" t="n">
        <f aca="false">O5-N5</f>
        <v>-477191</v>
      </c>
    </row>
    <row r="44" customFormat="false" ht="15" hidden="false" customHeight="false" outlineLevel="0" collapsed="false">
      <c r="A44" s="5" t="str">
        <f aca="false">A6</f>
        <v>Vivo</v>
      </c>
      <c r="B44" s="2" t="str">
        <f aca="false">B6</f>
        <v>TELEFONICA</v>
      </c>
      <c r="D44" s="11" t="n">
        <f aca="false">D6-C6</f>
        <v>70014</v>
      </c>
      <c r="E44" s="11" t="n">
        <f aca="false">E6-D6</f>
        <v>73343</v>
      </c>
      <c r="F44" s="11" t="n">
        <f aca="false">F6-E6</f>
        <v>70521</v>
      </c>
      <c r="G44" s="11" t="n">
        <f aca="false">G6-F6</f>
        <v>53562</v>
      </c>
      <c r="H44" s="11" t="n">
        <f aca="false">H6-G6</f>
        <v>64052</v>
      </c>
      <c r="I44" s="11" t="n">
        <f aca="false">I6-H6</f>
        <v>59099</v>
      </c>
      <c r="J44" s="11" t="n">
        <f aca="false">J6-I6</f>
        <v>77081</v>
      </c>
      <c r="K44" s="11" t="n">
        <f aca="false">K6-J6</f>
        <v>71293</v>
      </c>
      <c r="L44" s="11" t="n">
        <f aca="false">L6-K6</f>
        <v>80463</v>
      </c>
      <c r="M44" s="11" t="n">
        <f aca="false">M6-L6</f>
        <v>60780</v>
      </c>
      <c r="N44" s="11" t="n">
        <f aca="false">N6-M6</f>
        <v>75580</v>
      </c>
      <c r="O44" s="11" t="n">
        <f aca="false">O6-N6</f>
        <v>68508</v>
      </c>
    </row>
    <row r="45" customFormat="false" ht="15" hidden="false" customHeight="false" outlineLevel="0" collapsed="false">
      <c r="A45" s="5" t="str">
        <f aca="false">A7</f>
        <v>Claro</v>
      </c>
      <c r="B45" s="2" t="str">
        <f aca="false">B7</f>
        <v>TELECOM AMERICAS</v>
      </c>
      <c r="D45" s="11" t="n">
        <f aca="false">D7-C7</f>
        <v>74894</v>
      </c>
      <c r="E45" s="11" t="n">
        <f aca="false">E7-D7</f>
        <v>74049</v>
      </c>
      <c r="F45" s="11" t="n">
        <f aca="false">F7-E7</f>
        <v>69080</v>
      </c>
      <c r="G45" s="11" t="n">
        <f aca="false">G7-F7</f>
        <v>68853</v>
      </c>
      <c r="H45" s="11" t="n">
        <f aca="false">H7-G7</f>
        <v>76310</v>
      </c>
      <c r="I45" s="11" t="n">
        <f aca="false">I7-H7</f>
        <v>67552</v>
      </c>
      <c r="J45" s="11" t="n">
        <f aca="false">J7-I7</f>
        <v>93839</v>
      </c>
      <c r="K45" s="11" t="n">
        <f aca="false">K7-J7</f>
        <v>95028</v>
      </c>
      <c r="L45" s="11" t="n">
        <f aca="false">L7-K7</f>
        <v>103237</v>
      </c>
      <c r="M45" s="11" t="n">
        <f aca="false">M7-L7</f>
        <v>103506</v>
      </c>
      <c r="N45" s="11" t="n">
        <f aca="false">N7-M7</f>
        <v>121697</v>
      </c>
      <c r="O45" s="11" t="n">
        <f aca="false">O7-N7</f>
        <v>121469</v>
      </c>
    </row>
    <row r="46" customFormat="false" ht="15" hidden="false" customHeight="false" outlineLevel="0" collapsed="false">
      <c r="A46" s="5" t="str">
        <f aca="false">A8</f>
        <v>Oi</v>
      </c>
      <c r="B46" s="2" t="str">
        <f aca="false">B8</f>
        <v>OI</v>
      </c>
      <c r="D46" s="11" t="n">
        <f aca="false">D8-C8</f>
        <v>-67399</v>
      </c>
      <c r="E46" s="11" t="n">
        <f aca="false">E8-D8</f>
        <v>-72224</v>
      </c>
      <c r="F46" s="11" t="n">
        <f aca="false">F8-E8</f>
        <v>-88106</v>
      </c>
      <c r="G46" s="11" t="n">
        <f aca="false">G8-F8</f>
        <v>-73197</v>
      </c>
      <c r="H46" s="11" t="n">
        <f aca="false">H8-G8</f>
        <v>-63998</v>
      </c>
      <c r="I46" s="11" t="n">
        <f aca="false">I8-H8</f>
        <v>-36350</v>
      </c>
      <c r="J46" s="11" t="n">
        <f aca="false">J8-I8</f>
        <v>-24187</v>
      </c>
      <c r="K46" s="11" t="n">
        <f aca="false">K8-J8</f>
        <v>-14870</v>
      </c>
      <c r="L46" s="11" t="n">
        <f aca="false">L8-K8</f>
        <v>-28805</v>
      </c>
      <c r="M46" s="11" t="n">
        <f aca="false">M8-L8</f>
        <v>-17330</v>
      </c>
      <c r="N46" s="11" t="n">
        <f aca="false">N8-M8</f>
        <v>11755</v>
      </c>
      <c r="O46" s="11" t="n">
        <f aca="false">O8-N8</f>
        <v>21394</v>
      </c>
    </row>
    <row r="47" customFormat="false" ht="15" hidden="false" customHeight="false" outlineLevel="0" collapsed="false">
      <c r="A47" s="5" t="str">
        <f aca="false">A9</f>
        <v>Brisanet</v>
      </c>
      <c r="B47" s="2" t="str">
        <f aca="false">B9</f>
        <v>BRISANET</v>
      </c>
      <c r="D47" s="11" t="n">
        <f aca="false">D9-C9</f>
        <v>5693</v>
      </c>
      <c r="E47" s="11" t="n">
        <f aca="false">E9-D9</f>
        <v>6240</v>
      </c>
      <c r="F47" s="11" t="n">
        <f aca="false">F9-E9</f>
        <v>4080</v>
      </c>
      <c r="G47" s="11" t="n">
        <f aca="false">G9-F9</f>
        <v>4027</v>
      </c>
      <c r="H47" s="11" t="n">
        <f aca="false">H9-G9</f>
        <v>4605</v>
      </c>
      <c r="I47" s="11" t="n">
        <f aca="false">I9-H9</f>
        <v>4022</v>
      </c>
      <c r="J47" s="11" t="n">
        <f aca="false">J9-I9</f>
        <v>4718</v>
      </c>
      <c r="K47" s="11" t="n">
        <f aca="false">K9-J9</f>
        <v>4183</v>
      </c>
      <c r="L47" s="11" t="n">
        <f aca="false">L9-K9</f>
        <v>5693</v>
      </c>
      <c r="M47" s="11" t="n">
        <f aca="false">M9-L9</f>
        <v>1078</v>
      </c>
      <c r="N47" s="11" t="n">
        <f aca="false">N9-M9</f>
        <v>3033</v>
      </c>
      <c r="O47" s="11" t="n">
        <f aca="false">O9-N9</f>
        <v>2248</v>
      </c>
    </row>
    <row r="48" customFormat="false" ht="15" hidden="false" customHeight="false" outlineLevel="0" collapsed="false">
      <c r="A48" s="5" t="str">
        <f aca="false">A10</f>
        <v>Brasil Tecpar</v>
      </c>
      <c r="B48" s="2" t="str">
        <f aca="false">B10</f>
        <v>BRASIL TECPAR</v>
      </c>
      <c r="D48" s="11" t="n">
        <f aca="false">D10-C10</f>
        <v>231568</v>
      </c>
      <c r="E48" s="11" t="n">
        <f aca="false">E10-D10</f>
        <v>-1185</v>
      </c>
      <c r="F48" s="11" t="n">
        <f aca="false">F10-E10</f>
        <v>14175</v>
      </c>
      <c r="G48" s="11" t="n">
        <f aca="false">G10-F10</f>
        <v>21361</v>
      </c>
      <c r="H48" s="11" t="n">
        <f aca="false">H10-G10</f>
        <v>14915</v>
      </c>
      <c r="I48" s="11" t="n">
        <f aca="false">I10-H10</f>
        <v>5194</v>
      </c>
      <c r="J48" s="11" t="n">
        <f aca="false">J10-I10</f>
        <v>7990</v>
      </c>
      <c r="K48" s="11" t="n">
        <f aca="false">K10-J10</f>
        <v>6177</v>
      </c>
      <c r="L48" s="11" t="n">
        <f aca="false">L10-K10</f>
        <v>-6874</v>
      </c>
      <c r="M48" s="11" t="n">
        <f aca="false">M10-L10</f>
        <v>3111</v>
      </c>
      <c r="N48" s="11" t="n">
        <f aca="false">N10-M10</f>
        <v>8515</v>
      </c>
      <c r="O48" s="11" t="n">
        <f aca="false">O10-N10</f>
        <v>3027</v>
      </c>
    </row>
    <row r="49" customFormat="false" ht="15" hidden="false" customHeight="false" outlineLevel="0" collapsed="false">
      <c r="A49" s="5" t="str">
        <f aca="false">A11</f>
        <v>Vero</v>
      </c>
      <c r="B49" s="2" t="str">
        <f aca="false">B11</f>
        <v>VERO</v>
      </c>
      <c r="D49" s="11" t="n">
        <f aca="false">D11-C11</f>
        <v>-6051</v>
      </c>
      <c r="E49" s="11" t="n">
        <f aca="false">E11-D11</f>
        <v>-4772</v>
      </c>
      <c r="F49" s="11" t="n">
        <f aca="false">F11-E11</f>
        <v>-6004</v>
      </c>
      <c r="G49" s="11" t="n">
        <f aca="false">G11-F11</f>
        <v>-3424</v>
      </c>
      <c r="H49" s="11" t="n">
        <f aca="false">H11-G11</f>
        <v>-7501</v>
      </c>
      <c r="I49" s="11" t="n">
        <f aca="false">I11-H11</f>
        <v>-12254</v>
      </c>
      <c r="J49" s="11" t="n">
        <f aca="false">J11-I11</f>
        <v>-10206</v>
      </c>
      <c r="K49" s="11" t="n">
        <f aca="false">K11-J11</f>
        <v>-11258</v>
      </c>
      <c r="L49" s="11" t="n">
        <f aca="false">L11-K11</f>
        <v>-2947</v>
      </c>
      <c r="M49" s="11" t="n">
        <f aca="false">M11-L11</f>
        <v>-6196</v>
      </c>
      <c r="N49" s="11" t="n">
        <f aca="false">N11-M11</f>
        <v>-6349</v>
      </c>
      <c r="O49" s="11" t="n">
        <f aca="false">O11-N11</f>
        <v>-6962</v>
      </c>
    </row>
    <row r="50" customFormat="false" ht="15" hidden="false" customHeight="false" outlineLevel="0" collapsed="false">
      <c r="A50" s="5" t="str">
        <f aca="false">A12</f>
        <v>Giga Mais Fibra</v>
      </c>
      <c r="B50" s="2" t="str">
        <f aca="false">B12</f>
        <v>GIGA MAIS FIBRA</v>
      </c>
      <c r="D50" s="11" t="n">
        <f aca="false">D12-C12</f>
        <v>-30898</v>
      </c>
      <c r="E50" s="11" t="n">
        <f aca="false">E12-D12</f>
        <v>-18249</v>
      </c>
      <c r="F50" s="11" t="n">
        <f aca="false">F12-E12</f>
        <v>-28256</v>
      </c>
      <c r="G50" s="11" t="n">
        <f aca="false">G12-F12</f>
        <v>-32033</v>
      </c>
      <c r="H50" s="11" t="n">
        <f aca="false">H12-G12</f>
        <v>-24844</v>
      </c>
      <c r="I50" s="11" t="n">
        <f aca="false">I12-H12</f>
        <v>-21329</v>
      </c>
      <c r="J50" s="11" t="n">
        <f aca="false">J12-I12</f>
        <v>-22271</v>
      </c>
      <c r="K50" s="11" t="n">
        <f aca="false">K12-J12</f>
        <v>-19059</v>
      </c>
      <c r="L50" s="11" t="n">
        <f aca="false">L12-K12</f>
        <v>-15654</v>
      </c>
      <c r="M50" s="11" t="n">
        <f aca="false">M12-L12</f>
        <v>-16476</v>
      </c>
      <c r="N50" s="11" t="n">
        <f aca="false">N12-M12</f>
        <v>-13054</v>
      </c>
      <c r="O50" s="11" t="n">
        <f aca="false">O12-N12</f>
        <v>-12674</v>
      </c>
    </row>
    <row r="51" customFormat="false" ht="15" hidden="false" customHeight="false" outlineLevel="0" collapsed="false">
      <c r="A51" s="5" t="str">
        <f aca="false">A13</f>
        <v>Desktop</v>
      </c>
      <c r="B51" s="2" t="str">
        <f aca="false">B13</f>
        <v>DESKTOP</v>
      </c>
      <c r="D51" s="11" t="n">
        <f aca="false">D13-C13</f>
        <v>6090</v>
      </c>
      <c r="E51" s="11" t="n">
        <f aca="false">E13-D13</f>
        <v>7063</v>
      </c>
      <c r="F51" s="11" t="n">
        <f aca="false">F13-E13</f>
        <v>2098</v>
      </c>
      <c r="G51" s="11" t="n">
        <f aca="false">G13-F13</f>
        <v>-13</v>
      </c>
      <c r="H51" s="11" t="n">
        <f aca="false">H13-G13</f>
        <v>893</v>
      </c>
      <c r="I51" s="11" t="n">
        <f aca="false">I13-H13</f>
        <v>-622</v>
      </c>
      <c r="J51" s="11" t="n">
        <f aca="false">J13-I13</f>
        <v>-2350</v>
      </c>
      <c r="K51" s="11" t="n">
        <f aca="false">K13-J13</f>
        <v>-1893</v>
      </c>
      <c r="L51" s="11" t="n">
        <f aca="false">L13-K13</f>
        <v>-3272</v>
      </c>
      <c r="M51" s="11" t="n">
        <f aca="false">M13-L13</f>
        <v>-712</v>
      </c>
      <c r="N51" s="11" t="n">
        <f aca="false">N13-M13</f>
        <v>-1445</v>
      </c>
      <c r="O51" s="11" t="n">
        <f aca="false">O13-N13</f>
        <v>-3944</v>
      </c>
    </row>
    <row r="52" customFormat="false" ht="15" hidden="false" customHeight="false" outlineLevel="0" collapsed="false">
      <c r="A52" s="5" t="str">
        <f aca="false">A14</f>
        <v>TIM</v>
      </c>
      <c r="B52" s="2" t="str">
        <f aca="false">B14</f>
        <v>TELECOM ITALIA</v>
      </c>
      <c r="D52" s="11" t="n">
        <f aca="false">D14-C14</f>
        <v>10561</v>
      </c>
      <c r="E52" s="11" t="n">
        <f aca="false">E14-D14</f>
        <v>10148</v>
      </c>
      <c r="F52" s="11" t="n">
        <f aca="false">F14-E14</f>
        <v>12823</v>
      </c>
      <c r="G52" s="11" t="n">
        <f aca="false">G14-F14</f>
        <v>8734</v>
      </c>
      <c r="H52" s="11" t="n">
        <f aca="false">H14-G14</f>
        <v>10857</v>
      </c>
      <c r="I52" s="11" t="n">
        <f aca="false">I14-H14</f>
        <v>12593</v>
      </c>
      <c r="J52" s="11" t="n">
        <f aca="false">J14-I14</f>
        <v>12351</v>
      </c>
      <c r="K52" s="11" t="n">
        <f aca="false">K14-J14</f>
        <v>6853</v>
      </c>
      <c r="L52" s="11" t="n">
        <f aca="false">L14-K14</f>
        <v>8427</v>
      </c>
      <c r="M52" s="11" t="n">
        <f aca="false">M14-L14</f>
        <v>5241</v>
      </c>
      <c r="N52" s="11" t="n">
        <f aca="false">N14-M14</f>
        <v>12383</v>
      </c>
      <c r="O52" s="11" t="n">
        <f aca="false">O14-N14</f>
        <v>11594</v>
      </c>
    </row>
    <row r="53" customFormat="false" ht="15" hidden="false" customHeight="false" outlineLevel="0" collapsed="false">
      <c r="A53" s="5" t="str">
        <f aca="false">A15</f>
        <v>Unifique</v>
      </c>
      <c r="B53" s="2" t="str">
        <f aca="false">B15</f>
        <v>UNIFIQUE</v>
      </c>
      <c r="D53" s="11" t="n">
        <f aca="false">D15-C15</f>
        <v>2834</v>
      </c>
      <c r="E53" s="11" t="n">
        <f aca="false">E15-D15</f>
        <v>4246</v>
      </c>
      <c r="F53" s="11" t="n">
        <f aca="false">F15-E15</f>
        <v>29052</v>
      </c>
      <c r="G53" s="11" t="n">
        <f aca="false">G15-F15</f>
        <v>11585</v>
      </c>
      <c r="H53" s="11" t="n">
        <f aca="false">H15-G15</f>
        <v>4524</v>
      </c>
      <c r="I53" s="11" t="n">
        <f aca="false">I15-H15</f>
        <v>4699</v>
      </c>
      <c r="J53" s="11" t="n">
        <f aca="false">J15-I15</f>
        <v>4040</v>
      </c>
      <c r="K53" s="11" t="n">
        <f aca="false">K15-J15</f>
        <v>2981</v>
      </c>
      <c r="L53" s="11" t="n">
        <f aca="false">L15-K15</f>
        <v>1303</v>
      </c>
      <c r="M53" s="11" t="n">
        <f aca="false">M15-L15</f>
        <v>1593</v>
      </c>
      <c r="N53" s="11" t="n">
        <f aca="false">N15-M15</f>
        <v>5214</v>
      </c>
      <c r="O53" s="11" t="n">
        <f aca="false">O15-N15</f>
        <v>1661</v>
      </c>
    </row>
    <row r="54" customFormat="false" ht="15" hidden="false" customHeight="false" outlineLevel="0" collapsed="false">
      <c r="A54" s="5" t="str">
        <f aca="false">A16</f>
        <v>Algar</v>
      </c>
      <c r="B54" s="2" t="str">
        <f aca="false">B16</f>
        <v>ALGAR (CTBC TELECOM)</v>
      </c>
      <c r="D54" s="11" t="n">
        <f aca="false">D16-C16</f>
        <v>671</v>
      </c>
      <c r="E54" s="11" t="n">
        <f aca="false">E16-D16</f>
        <v>7871</v>
      </c>
      <c r="F54" s="11" t="n">
        <f aca="false">F16-E16</f>
        <v>2911</v>
      </c>
      <c r="G54" s="11" t="n">
        <f aca="false">G16-F16</f>
        <v>430</v>
      </c>
      <c r="H54" s="11" t="n">
        <f aca="false">H16-G16</f>
        <v>-1194</v>
      </c>
      <c r="I54" s="11" t="n">
        <f aca="false">I16-H16</f>
        <v>-314</v>
      </c>
      <c r="J54" s="11" t="n">
        <f aca="false">J16-I16</f>
        <v>1245</v>
      </c>
      <c r="K54" s="11" t="n">
        <f aca="false">K16-J16</f>
        <v>-97</v>
      </c>
      <c r="L54" s="11" t="n">
        <f aca="false">L16-K16</f>
        <v>-1390</v>
      </c>
      <c r="M54" s="11" t="n">
        <f aca="false">M16-L16</f>
        <v>-1838</v>
      </c>
      <c r="N54" s="11" t="n">
        <f aca="false">N16-M16</f>
        <v>-1579</v>
      </c>
      <c r="O54" s="11" t="n">
        <f aca="false">O16-N16</f>
        <v>-1487</v>
      </c>
    </row>
    <row r="55" customFormat="false" ht="15" hidden="false" customHeight="false" outlineLevel="0" collapsed="false">
      <c r="A55" s="5" t="str">
        <f aca="false">A17</f>
        <v>Alares</v>
      </c>
      <c r="B55" s="2" t="str">
        <f aca="false">B17</f>
        <v>ALARES</v>
      </c>
      <c r="D55" s="11" t="n">
        <f aca="false">D17-C17</f>
        <v>217</v>
      </c>
      <c r="E55" s="11" t="n">
        <f aca="false">E17-D17</f>
        <v>26970</v>
      </c>
      <c r="F55" s="11" t="n">
        <f aca="false">F17-E17</f>
        <v>-300</v>
      </c>
      <c r="G55" s="11" t="n">
        <f aca="false">G17-F17</f>
        <v>-318</v>
      </c>
      <c r="H55" s="11" t="n">
        <f aca="false">H17-G17</f>
        <v>-25132</v>
      </c>
      <c r="I55" s="11" t="n">
        <f aca="false">I17-H17</f>
        <v>-798</v>
      </c>
      <c r="J55" s="11" t="n">
        <f aca="false">J17-I17</f>
        <v>-312</v>
      </c>
      <c r="K55" s="11" t="n">
        <f aca="false">K17-J17</f>
        <v>-981</v>
      </c>
      <c r="L55" s="11" t="n">
        <f aca="false">L17-K17</f>
        <v>-1584</v>
      </c>
      <c r="M55" s="11" t="n">
        <f aca="false">M17-L17</f>
        <v>-2849</v>
      </c>
      <c r="N55" s="11" t="n">
        <f aca="false">N17-M17</f>
        <v>16020</v>
      </c>
      <c r="O55" s="11" t="n">
        <f aca="false">O17-N17</f>
        <v>-4038</v>
      </c>
    </row>
    <row r="56" customFormat="false" ht="15" hidden="false" customHeight="false" outlineLevel="0" collapsed="false">
      <c r="A56" s="5" t="str">
        <f aca="false">A18</f>
        <v>Sky/Zaaz</v>
      </c>
      <c r="B56" s="2" t="str">
        <f aca="false">B18</f>
        <v>SKY/ZAAZ</v>
      </c>
      <c r="D56" s="11" t="n">
        <f aca="false">D18-C18</f>
        <v>0</v>
      </c>
      <c r="E56" s="11" t="n">
        <f aca="false">E18-D18</f>
        <v>0</v>
      </c>
      <c r="F56" s="11" t="n">
        <f aca="false">F18-E18</f>
        <v>0</v>
      </c>
      <c r="G56" s="11" t="n">
        <f aca="false">G18-F18</f>
        <v>0</v>
      </c>
      <c r="H56" s="11" t="n">
        <f aca="false">H18-G18</f>
        <v>468438</v>
      </c>
      <c r="I56" s="11" t="n">
        <f aca="false">I18-H18</f>
        <v>13375</v>
      </c>
      <c r="J56" s="11" t="n">
        <f aca="false">J18-I18</f>
        <v>948</v>
      </c>
      <c r="K56" s="11" t="n">
        <f aca="false">K18-J18</f>
        <v>453</v>
      </c>
      <c r="L56" s="11" t="n">
        <f aca="false">L18-K18</f>
        <v>1154</v>
      </c>
      <c r="M56" s="11" t="n">
        <f aca="false">M18-L18</f>
        <v>7652</v>
      </c>
      <c r="N56" s="11" t="n">
        <f aca="false">N18-M18</f>
        <v>348248</v>
      </c>
      <c r="O56" s="11" t="n">
        <f aca="false">O18-N18</f>
        <v>-343422</v>
      </c>
    </row>
    <row r="57" customFormat="false" ht="15" hidden="false" customHeight="false" outlineLevel="0" collapsed="false">
      <c r="A57" s="5" t="str">
        <f aca="false">A19</f>
        <v>Ligga Telecom</v>
      </c>
      <c r="B57" s="2" t="str">
        <f aca="false">B19</f>
        <v>LIGGA TELECOM</v>
      </c>
      <c r="D57" s="11" t="n">
        <f aca="false">D19-C19</f>
        <v>1580</v>
      </c>
      <c r="E57" s="11" t="n">
        <f aca="false">E19-D19</f>
        <v>2186</v>
      </c>
      <c r="F57" s="11" t="n">
        <f aca="false">F19-E19</f>
        <v>1116</v>
      </c>
      <c r="G57" s="11" t="n">
        <f aca="false">G19-F19</f>
        <v>973</v>
      </c>
      <c r="H57" s="11" t="n">
        <f aca="false">H19-G19</f>
        <v>2714</v>
      </c>
      <c r="I57" s="11" t="n">
        <f aca="false">I19-H19</f>
        <v>2518</v>
      </c>
      <c r="J57" s="11" t="n">
        <f aca="false">J19-I19</f>
        <v>2668</v>
      </c>
      <c r="K57" s="11" t="n">
        <f aca="false">K19-J19</f>
        <v>1907</v>
      </c>
      <c r="L57" s="11" t="n">
        <f aca="false">L19-K19</f>
        <v>1490</v>
      </c>
      <c r="M57" s="11" t="n">
        <f aca="false">M19-L19</f>
        <v>379</v>
      </c>
      <c r="N57" s="11" t="n">
        <f aca="false">N19-M19</f>
        <v>1874</v>
      </c>
      <c r="O57" s="11" t="n">
        <f aca="false">O19-N19</f>
        <v>3874</v>
      </c>
    </row>
    <row r="58" customFormat="false" ht="15" hidden="false" customHeight="false" outlineLevel="0" collapsed="false">
      <c r="A58" s="5" t="str">
        <f aca="false">A20</f>
        <v>Demais grupos</v>
      </c>
      <c r="B58" s="2" t="str">
        <f aca="false">B20</f>
        <v>DEMAIS GRUPOS</v>
      </c>
      <c r="D58" s="11" t="n">
        <f aca="false">D20-C20</f>
        <v>-745</v>
      </c>
      <c r="E58" s="11" t="n">
        <f aca="false">E20-D20</f>
        <v>-3325</v>
      </c>
      <c r="F58" s="11" t="n">
        <f aca="false">F20-E20</f>
        <v>3021</v>
      </c>
      <c r="G58" s="11" t="n">
        <f aca="false">G20-F20</f>
        <v>2052</v>
      </c>
      <c r="H58" s="11" t="n">
        <f aca="false">H20-G20</f>
        <v>-218336</v>
      </c>
      <c r="I58" s="11" t="n">
        <f aca="false">I20-H20</f>
        <v>829</v>
      </c>
      <c r="J58" s="11" t="n">
        <f aca="false">J20-I20</f>
        <v>1595</v>
      </c>
      <c r="K58" s="11" t="n">
        <f aca="false">K20-J20</f>
        <v>-25184</v>
      </c>
      <c r="L58" s="11" t="n">
        <f aca="false">L20-K20</f>
        <v>1132</v>
      </c>
      <c r="M58" s="11" t="n">
        <f aca="false">M20-L20</f>
        <v>-3118</v>
      </c>
      <c r="N58" s="11" t="n">
        <f aca="false">N20-M20</f>
        <v>5827</v>
      </c>
      <c r="O58" s="11" t="n">
        <f aca="false">O20-N20</f>
        <v>-3721</v>
      </c>
    </row>
    <row r="59" customFormat="false" ht="15" hidden="false" customHeight="false" outlineLevel="0" collapsed="false">
      <c r="A59" s="7" t="str">
        <f aca="false">A21</f>
        <v>Total</v>
      </c>
      <c r="D59" s="12" t="n">
        <f aca="false">D21-C21</f>
        <v>101260</v>
      </c>
      <c r="E59" s="12" t="n">
        <f aca="false">E21-D21</f>
        <v>446851</v>
      </c>
      <c r="F59" s="12" t="n">
        <f aca="false">F21-E21</f>
        <v>-366944</v>
      </c>
      <c r="G59" s="12" t="n">
        <f aca="false">G21-F21</f>
        <v>668000</v>
      </c>
      <c r="H59" s="12" t="n">
        <f aca="false">H21-G21</f>
        <v>283585</v>
      </c>
      <c r="I59" s="12" t="n">
        <f aca="false">I21-H21</f>
        <v>715881</v>
      </c>
      <c r="J59" s="12" t="n">
        <f aca="false">J21-I21</f>
        <v>581576</v>
      </c>
      <c r="K59" s="12" t="n">
        <f aca="false">K21-J21</f>
        <v>372597</v>
      </c>
      <c r="L59" s="12" t="n">
        <f aca="false">L21-K21</f>
        <v>598630</v>
      </c>
      <c r="M59" s="12" t="n">
        <f aca="false">M21-L21</f>
        <v>478822</v>
      </c>
      <c r="N59" s="12" t="n">
        <f aca="false">N21-M21</f>
        <v>532073</v>
      </c>
      <c r="O59" s="12" t="n">
        <f aca="false">O21-N21</f>
        <v>-619664</v>
      </c>
    </row>
    <row r="61" customFormat="false" ht="15" hidden="false" customHeight="false" outlineLevel="0" collapsed="false">
      <c r="A61" s="3" t="s">
        <v>42</v>
      </c>
      <c r="B61" s="3"/>
      <c r="C61" s="3" t="s">
        <v>43</v>
      </c>
      <c r="D61" s="3" t="s">
        <v>44</v>
      </c>
    </row>
    <row r="62" customFormat="false" ht="15" hidden="false" customHeight="false" outlineLevel="0" collapsed="false">
      <c r="A62" s="5" t="str">
        <f aca="false">A5</f>
        <v>Outros</v>
      </c>
      <c r="C62" s="13" t="n">
        <f aca="false">IF(C5=0,0,O5/C5-1)</f>
        <v>0.0978984531615692</v>
      </c>
      <c r="D62" s="14" t="n">
        <f aca="false">(O24-C24)*100</f>
        <v>0.399944731478891</v>
      </c>
    </row>
    <row r="63" customFormat="false" ht="15" hidden="false" customHeight="false" outlineLevel="0" collapsed="false">
      <c r="A63" s="5" t="str">
        <f aca="false">A6</f>
        <v>Vivo</v>
      </c>
      <c r="C63" s="13" t="n">
        <f aca="false">IF(C6=0,0,O6/C6-1)</f>
        <v>0.109523880387597</v>
      </c>
      <c r="D63" s="14" t="n">
        <f aca="false">(O25-C25)*100</f>
        <v>0.346357400689362</v>
      </c>
    </row>
    <row r="64" customFormat="false" ht="15" hidden="false" customHeight="false" outlineLevel="0" collapsed="false">
      <c r="A64" s="5" t="str">
        <f aca="false">A7</f>
        <v>Claro</v>
      </c>
      <c r="C64" s="13" t="n">
        <f aca="false">IF(C7=0,0,O7/C7-1)</f>
        <v>0.457009415680837</v>
      </c>
      <c r="D64" s="14" t="n">
        <f aca="false">(O26-C26)*100</f>
        <v>1.84063005665188</v>
      </c>
    </row>
    <row r="65" customFormat="false" ht="15" hidden="false" customHeight="false" outlineLevel="0" collapsed="false">
      <c r="A65" s="5" t="str">
        <f aca="false">A8</f>
        <v>Oi</v>
      </c>
      <c r="C65" s="13" t="n">
        <f aca="false">IF(C8=0,0,O8/C8-1)</f>
        <v>-0.117869831655014</v>
      </c>
      <c r="D65" s="14" t="n">
        <f aca="false">(O27-C27)*100</f>
        <v>-1.68664547640945</v>
      </c>
    </row>
    <row r="66" customFormat="false" ht="15" hidden="false" customHeight="false" outlineLevel="0" collapsed="false">
      <c r="A66" s="5" t="str">
        <f aca="false">A9</f>
        <v>Brisanet</v>
      </c>
      <c r="C66" s="13" t="n">
        <f aca="false">IF(C9=0,0,O9/C9-1)</f>
        <v>0.0332869784318894</v>
      </c>
      <c r="D66" s="14" t="n">
        <f aca="false">(O28-C28)*100</f>
        <v>-0.173574547305447</v>
      </c>
    </row>
    <row r="67" customFormat="false" ht="15" hidden="false" customHeight="false" outlineLevel="0" collapsed="false">
      <c r="A67" s="5" t="str">
        <f aca="false">A10</f>
        <v>Brasil Tecpar</v>
      </c>
      <c r="C67" s="13" t="n">
        <f aca="false">IF(C10=0,0,O10/C10-1)</f>
        <v>0.290750795147828</v>
      </c>
      <c r="D67" s="14" t="n">
        <f aca="false">(O29-C29)*100</f>
        <v>0.45781784572356</v>
      </c>
    </row>
    <row r="68" customFormat="false" ht="15" hidden="false" customHeight="false" outlineLevel="0" collapsed="false">
      <c r="A68" s="5" t="str">
        <f aca="false">A11</f>
        <v>Vero</v>
      </c>
      <c r="C68" s="13" t="n">
        <f aca="false">IF(C11=0,0,O11/C11-1)</f>
        <v>-0.0611358992383874</v>
      </c>
      <c r="D68" s="14" t="n">
        <f aca="false">(O30-C30)*100</f>
        <v>-0.436059927668331</v>
      </c>
    </row>
    <row r="69" customFormat="false" ht="15" hidden="false" customHeight="false" outlineLevel="0" collapsed="false">
      <c r="A69" s="5" t="str">
        <f aca="false">A12</f>
        <v>Giga Mais Fibra</v>
      </c>
      <c r="C69" s="13" t="n">
        <f aca="false">IF(C12=0,0,O12/C12-1)</f>
        <v>-0.165190973516619</v>
      </c>
      <c r="D69" s="14" t="n">
        <f aca="false">(O31-C31)*100</f>
        <v>-0.831986515109897</v>
      </c>
    </row>
    <row r="70" customFormat="false" ht="15" hidden="false" customHeight="false" outlineLevel="0" collapsed="false">
      <c r="A70" s="5" t="str">
        <f aca="false">A13</f>
        <v>Desktop</v>
      </c>
      <c r="C70" s="13" t="n">
        <f aca="false">IF(C13=0,0,O13/C13-1)</f>
        <v>0.00158847770467063</v>
      </c>
      <c r="D70" s="14" t="n">
        <f aca="false">(O32-C32)*100</f>
        <v>-0.219262009009412</v>
      </c>
    </row>
    <row r="71" customFormat="false" ht="15" hidden="false" customHeight="false" outlineLevel="0" collapsed="false">
      <c r="A71" s="5" t="str">
        <f aca="false">A14</f>
        <v>TIM</v>
      </c>
      <c r="C71" s="13" t="n">
        <f aca="false">IF(C14=0,0,O14/C14-1)</f>
        <v>0.152307445686145</v>
      </c>
      <c r="D71" s="14" t="n">
        <f aca="false">(O33-C33)*100</f>
        <v>0.110401366959838</v>
      </c>
    </row>
    <row r="72" customFormat="false" ht="15" hidden="false" customHeight="false" outlineLevel="0" collapsed="false">
      <c r="A72" s="5" t="str">
        <f aca="false">A15</f>
        <v>Unifique</v>
      </c>
      <c r="C72" s="13" t="n">
        <f aca="false">IF(C15=0,0,O15/C15-1)</f>
        <v>0.0904550601565652</v>
      </c>
      <c r="D72" s="14" t="n">
        <f aca="false">(O34-C34)*100</f>
        <v>0.00438921968310448</v>
      </c>
    </row>
    <row r="73" customFormat="false" ht="15" hidden="false" customHeight="false" outlineLevel="0" collapsed="false">
      <c r="A73" s="5" t="str">
        <f aca="false">A16</f>
        <v>Algar</v>
      </c>
      <c r="C73" s="13" t="n">
        <f aca="false">IF(C16=0,0,O16/C16-1)</f>
        <v>0.00631917068890919</v>
      </c>
      <c r="D73" s="14" t="n">
        <f aca="false">(O35-C35)*100</f>
        <v>-0.14390637034223</v>
      </c>
    </row>
    <row r="74" customFormat="false" ht="15" hidden="false" customHeight="false" outlineLevel="0" collapsed="false">
      <c r="A74" s="5" t="str">
        <f aca="false">A17</f>
        <v>Alares</v>
      </c>
      <c r="C74" s="13" t="n">
        <f aca="false">IF(C17=0,0,O17/C17-1)</f>
        <v>0.00875710125342755</v>
      </c>
      <c r="D74" s="14" t="n">
        <f aca="false">(O36-C36)*100</f>
        <v>-0.132838457327593</v>
      </c>
    </row>
    <row r="75" customFormat="false" ht="15" hidden="false" customHeight="false" outlineLevel="0" collapsed="false">
      <c r="A75" s="5" t="str">
        <f aca="false">A18</f>
        <v>Sky/Zaaz</v>
      </c>
      <c r="C75" s="13" t="n">
        <f aca="false">IF(C18=0,0,O18/C18-1)</f>
        <v>0</v>
      </c>
      <c r="D75" s="14" t="n">
        <f aca="false">(O37-C37)*100</f>
        <v>1.05877832214857</v>
      </c>
    </row>
    <row r="76" customFormat="false" ht="15" hidden="false" customHeight="false" outlineLevel="0" collapsed="false">
      <c r="A76" s="5" t="str">
        <f aca="false">A19</f>
        <v>Ligga Telecom</v>
      </c>
      <c r="C76" s="13" t="n">
        <f aca="false">IF(C19=0,0,O19/C19-1)</f>
        <v>0.0703896999238016</v>
      </c>
      <c r="D76" s="14" t="n">
        <f aca="false">(O38-C38)*100</f>
        <v>-0.0123603548483558</v>
      </c>
    </row>
    <row r="77" customFormat="false" ht="15" hidden="false" customHeight="false" outlineLevel="0" collapsed="false">
      <c r="A77" s="5" t="str">
        <f aca="false">A20</f>
        <v>Demais grupos</v>
      </c>
      <c r="C77" s="13" t="n">
        <f aca="false">IF(C20=0,0,O20/C20-1)</f>
        <v>-0.639586886993603</v>
      </c>
      <c r="D77" s="14" t="n">
        <f aca="false">(O39-C39)*100</f>
        <v>-0.581685285314491</v>
      </c>
    </row>
    <row r="78" customFormat="false" ht="15" hidden="false" customHeight="false" outlineLevel="0" collapsed="false">
      <c r="A78" s="7" t="str">
        <f aca="false">A21</f>
        <v>Total</v>
      </c>
      <c r="C78" s="13" t="n">
        <f aca="false">IF(C21=0,0,O21/C21-1)</f>
        <v>0.0879282016297194</v>
      </c>
      <c r="D78" s="14" t="n">
        <f aca="false">(O40-C40)*100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71</v>
      </c>
    </row>
    <row r="2" customFormat="false" ht="15" hidden="false" customHeight="false" outlineLevel="0" collapsed="false">
      <c r="A2" s="5" t="s">
        <v>72</v>
      </c>
      <c r="B2" s="5" t="s">
        <v>73</v>
      </c>
    </row>
    <row r="3" customFormat="false" ht="15" hidden="false" customHeight="false" outlineLevel="0" collapsed="false">
      <c r="A3" s="5" t="s">
        <v>74</v>
      </c>
      <c r="B3" s="5" t="s">
        <v>75</v>
      </c>
    </row>
    <row r="4" customFormat="false" ht="15" hidden="false" customHeight="false" outlineLevel="0" collapsed="false">
      <c r="A4" s="5" t="s">
        <v>76</v>
      </c>
      <c r="B4" s="5" t="s">
        <v>77</v>
      </c>
    </row>
    <row r="5" customFormat="false" ht="15" hidden="false" customHeight="false" outlineLevel="0" collapsed="false">
      <c r="A5" s="5" t="s">
        <v>78</v>
      </c>
      <c r="B5" s="5" t="s">
        <v>79</v>
      </c>
    </row>
    <row r="6" customFormat="false" ht="15" hidden="false" customHeight="false" outlineLevel="0" collapsed="false">
      <c r="A6" s="5" t="s">
        <v>80</v>
      </c>
      <c r="B6" s="5" t="s">
        <v>81</v>
      </c>
    </row>
    <row r="7" customFormat="false" ht="15" hidden="false" customHeight="false" outlineLevel="0" collapsed="false">
      <c r="A7" s="5" t="s">
        <v>82</v>
      </c>
      <c r="B7" s="5" t="s">
        <v>83</v>
      </c>
    </row>
    <row r="8" customFormat="false" ht="15" hidden="false" customHeight="false" outlineLevel="0" collapsed="false">
      <c r="A8" s="5" t="s">
        <v>84</v>
      </c>
      <c r="B8" s="5" t="s">
        <v>83</v>
      </c>
    </row>
    <row r="9" customFormat="false" ht="15" hidden="false" customHeight="false" outlineLevel="0" collapsed="false">
      <c r="A9" s="7"/>
      <c r="B9" s="5"/>
    </row>
    <row r="10" customFormat="false" ht="15" hidden="false" customHeight="false" outlineLevel="0" collapsed="false">
      <c r="A10" s="7" t="s">
        <v>85</v>
      </c>
      <c r="B10" s="5"/>
    </row>
    <row r="11" customFormat="false" ht="15" hidden="false" customHeight="false" outlineLevel="0" collapsed="false">
      <c r="A11" s="5" t="s">
        <v>86</v>
      </c>
      <c r="B11" s="6" t="n">
        <v>220921381</v>
      </c>
    </row>
    <row r="12" customFormat="false" ht="15" hidden="false" customHeight="false" outlineLevel="0" collapsed="false">
      <c r="A12" s="5" t="s">
        <v>87</v>
      </c>
      <c r="B12" s="11" t="n">
        <f aca="false">Móvel!O16</f>
        <v>220921381</v>
      </c>
    </row>
    <row r="13" customFormat="false" ht="15" hidden="false" customHeight="false" outlineLevel="0" collapsed="false">
      <c r="A13" s="5" t="s">
        <v>88</v>
      </c>
      <c r="B13" s="11" t="n">
        <f aca="false">B12-B11</f>
        <v>0</v>
      </c>
    </row>
    <row r="14" customFormat="false" ht="15" hidden="false" customHeight="false" outlineLevel="0" collapsed="false">
      <c r="A14" s="5" t="s">
        <v>89</v>
      </c>
      <c r="B14" s="6" t="n">
        <v>57893114</v>
      </c>
    </row>
    <row r="15" customFormat="false" ht="15" hidden="false" customHeight="false" outlineLevel="0" collapsed="false">
      <c r="A15" s="5" t="s">
        <v>90</v>
      </c>
      <c r="B15" s="11" t="n">
        <f aca="false">BLF!O21</f>
        <v>57893114</v>
      </c>
    </row>
    <row r="16" customFormat="false" ht="15" hidden="false" customHeight="false" outlineLevel="0" collapsed="false">
      <c r="A16" s="5" t="s">
        <v>91</v>
      </c>
      <c r="B16" s="11" t="n">
        <f aca="false">B15-B14</f>
        <v>0</v>
      </c>
    </row>
    <row r="17" customFormat="false" ht="15" hidden="false" customHeight="false" outlineLevel="0" collapsed="false">
      <c r="A17" s="5" t="s">
        <v>92</v>
      </c>
      <c r="B17" s="5" t="s">
        <v>93</v>
      </c>
    </row>
    <row r="18" customFormat="false" ht="15" hidden="false" customHeight="false" outlineLevel="0" collapsed="false">
      <c r="A18" s="7"/>
      <c r="B18" s="5"/>
    </row>
    <row r="19" customFormat="false" ht="15" hidden="false" customHeight="false" outlineLevel="0" collapsed="false">
      <c r="A19" s="7" t="s">
        <v>94</v>
      </c>
      <c r="B19" s="5"/>
    </row>
    <row r="20" customFormat="false" ht="15" hidden="false" customHeight="false" outlineLevel="0" collapsed="false">
      <c r="A20" s="5" t="s">
        <v>95</v>
      </c>
      <c r="B20" s="5" t="s">
        <v>96</v>
      </c>
    </row>
    <row r="21" customFormat="false" ht="15" hidden="false" customHeight="false" outlineLevel="0" collapsed="false">
      <c r="A21" s="5" t="s">
        <v>97</v>
      </c>
      <c r="B21" s="5" t="s">
        <v>98</v>
      </c>
    </row>
    <row r="22" customFormat="false" ht="15" hidden="false" customHeight="false" outlineLevel="0" collapsed="false">
      <c r="A22" s="5" t="s">
        <v>2</v>
      </c>
      <c r="B22" s="5" t="s">
        <v>99</v>
      </c>
    </row>
    <row r="23" customFormat="false" ht="15" hidden="false" customHeight="false" outlineLevel="0" collapsed="false">
      <c r="A23" s="5" t="s">
        <v>100</v>
      </c>
      <c r="B23" s="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2026-10-28T01:55:45Z</dcterms:created>
  <dc:creator>openpyxl</dc:creator>
  <dc:description/>
  <dc:language>en-US</dc:language>
  <cp:lastModifiedBy/>
  <dcterms:modified xsi:type="dcterms:W3CDTF">2026-10-28T01:55:45Z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